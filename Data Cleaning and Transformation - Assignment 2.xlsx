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C8D66F4-873B-40B8-BD1D-DFAD38A55C2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set" sheetId="2" r:id="rId1"/>
    <sheet name="Raw Dataset" sheetId="4" r:id="rId2"/>
    <sheet name="Cleaned 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I25" i="4"/>
  <c r="J25" i="4"/>
  <c r="N25" i="4" s="1"/>
  <c r="K25" i="4"/>
  <c r="L25" i="4"/>
  <c r="M25" i="4"/>
  <c r="H29" i="4"/>
  <c r="I29" i="4"/>
  <c r="J29" i="4"/>
  <c r="N29" i="4" s="1"/>
  <c r="K29" i="4"/>
  <c r="L29" i="4"/>
  <c r="M29" i="4"/>
  <c r="H34" i="4"/>
  <c r="I34" i="4"/>
  <c r="J34" i="4"/>
  <c r="K34" i="4"/>
  <c r="L34" i="4"/>
  <c r="M34" i="4"/>
  <c r="N34" i="4"/>
  <c r="H12" i="4"/>
  <c r="I12" i="4"/>
  <c r="J12" i="4"/>
  <c r="N12" i="4" s="1"/>
  <c r="K12" i="4"/>
  <c r="L12" i="4"/>
  <c r="M12" i="4"/>
  <c r="G13" i="4"/>
  <c r="H13" i="4" s="1"/>
  <c r="I13" i="4"/>
  <c r="J13" i="4"/>
  <c r="N13" i="4" s="1"/>
  <c r="K13" i="4"/>
  <c r="L13" i="4"/>
  <c r="M13" i="4"/>
  <c r="G14" i="4"/>
  <c r="H14" i="4" s="1"/>
  <c r="I14" i="4"/>
  <c r="J14" i="4"/>
  <c r="N14" i="4" s="1"/>
  <c r="K14" i="4"/>
  <c r="L14" i="4"/>
  <c r="M14" i="4"/>
  <c r="H16" i="4"/>
  <c r="I16" i="4"/>
  <c r="J16" i="4"/>
  <c r="N16" i="4" s="1"/>
  <c r="K16" i="4"/>
  <c r="L16" i="4"/>
  <c r="M16" i="4"/>
  <c r="H18" i="4"/>
  <c r="I18" i="4"/>
  <c r="J18" i="4"/>
  <c r="K18" i="4"/>
  <c r="L18" i="4"/>
  <c r="M18" i="4"/>
  <c r="N18" i="4"/>
  <c r="H19" i="4"/>
  <c r="I19" i="4"/>
  <c r="J19" i="4"/>
  <c r="N19" i="4" s="1"/>
  <c r="K19" i="4"/>
  <c r="L19" i="4"/>
  <c r="M19" i="4"/>
  <c r="H26" i="4"/>
  <c r="I26" i="4"/>
  <c r="J26" i="4"/>
  <c r="K26" i="4"/>
  <c r="L26" i="4"/>
  <c r="M26" i="4"/>
  <c r="N26" i="4"/>
  <c r="H27" i="4"/>
  <c r="J27" i="4"/>
  <c r="K27" i="4"/>
  <c r="L27" i="4"/>
  <c r="M27" i="4"/>
  <c r="N27" i="4"/>
  <c r="H28" i="4"/>
  <c r="I28" i="4"/>
  <c r="J28" i="4"/>
  <c r="N28" i="4" s="1"/>
  <c r="K28" i="4"/>
  <c r="L28" i="4"/>
  <c r="M28" i="4"/>
  <c r="H32" i="4"/>
  <c r="I32" i="4"/>
  <c r="J32" i="4"/>
  <c r="K32" i="4"/>
  <c r="L32" i="4"/>
  <c r="M32" i="4"/>
  <c r="N32" i="4"/>
  <c r="G10" i="4"/>
  <c r="H11" i="4"/>
  <c r="H15" i="4"/>
  <c r="H21" i="4"/>
  <c r="H23" i="4"/>
  <c r="H30" i="4"/>
  <c r="H31" i="4"/>
  <c r="H35" i="4"/>
  <c r="M35" i="4"/>
  <c r="L35" i="4"/>
  <c r="K35" i="4"/>
  <c r="J35" i="4"/>
  <c r="N35" i="4" s="1"/>
  <c r="I35" i="4"/>
  <c r="M33" i="4"/>
  <c r="L33" i="4"/>
  <c r="K33" i="4"/>
  <c r="J33" i="4"/>
  <c r="N33" i="4" s="1"/>
  <c r="I33" i="4"/>
  <c r="H33" i="4"/>
  <c r="M31" i="4"/>
  <c r="L31" i="4"/>
  <c r="K31" i="4"/>
  <c r="J31" i="4"/>
  <c r="N31" i="4" s="1"/>
  <c r="I31" i="4"/>
  <c r="M30" i="4"/>
  <c r="L30" i="4"/>
  <c r="K30" i="4"/>
  <c r="J30" i="4"/>
  <c r="N30" i="4" s="1"/>
  <c r="I30" i="4"/>
  <c r="M24" i="4"/>
  <c r="L24" i="4"/>
  <c r="K24" i="4"/>
  <c r="J24" i="4"/>
  <c r="N24" i="4" s="1"/>
  <c r="I24" i="4"/>
  <c r="H24" i="4"/>
  <c r="M23" i="4"/>
  <c r="L23" i="4"/>
  <c r="K23" i="4"/>
  <c r="J23" i="4"/>
  <c r="N23" i="4" s="1"/>
  <c r="I23" i="4"/>
  <c r="M22" i="4"/>
  <c r="L22" i="4"/>
  <c r="K22" i="4"/>
  <c r="J22" i="4"/>
  <c r="N22" i="4" s="1"/>
  <c r="I22" i="4"/>
  <c r="H22" i="4"/>
  <c r="M21" i="4"/>
  <c r="L21" i="4"/>
  <c r="K21" i="4"/>
  <c r="J21" i="4"/>
  <c r="N21" i="4" s="1"/>
  <c r="M20" i="4"/>
  <c r="L20" i="4"/>
  <c r="K20" i="4"/>
  <c r="J20" i="4"/>
  <c r="N20" i="4" s="1"/>
  <c r="I20" i="4"/>
  <c r="H20" i="4"/>
  <c r="M17" i="4"/>
  <c r="L17" i="4"/>
  <c r="K17" i="4"/>
  <c r="J17" i="4"/>
  <c r="N17" i="4" s="1"/>
  <c r="I17" i="4"/>
  <c r="H17" i="4"/>
  <c r="M15" i="4"/>
  <c r="L15" i="4"/>
  <c r="K15" i="4"/>
  <c r="J15" i="4"/>
  <c r="N15" i="4" s="1"/>
  <c r="I15" i="4"/>
  <c r="M11" i="4"/>
  <c r="L11" i="4"/>
  <c r="K11" i="4"/>
  <c r="J11" i="4"/>
  <c r="N11" i="4" s="1"/>
  <c r="I11" i="4"/>
  <c r="M10" i="4"/>
  <c r="L10" i="4"/>
  <c r="K10" i="4"/>
  <c r="J10" i="4"/>
  <c r="N10" i="4" s="1"/>
  <c r="I10" i="4"/>
  <c r="H10" i="4"/>
  <c r="M9" i="4"/>
  <c r="L9" i="4"/>
  <c r="K9" i="4"/>
  <c r="J9" i="4"/>
  <c r="N9" i="4" s="1"/>
  <c r="I9" i="4"/>
  <c r="H9" i="4"/>
  <c r="M8" i="4"/>
  <c r="L8" i="4"/>
  <c r="K8" i="4"/>
  <c r="J8" i="4"/>
  <c r="N8" i="4" s="1"/>
  <c r="I8" i="4"/>
  <c r="H8" i="4"/>
  <c r="M7" i="4"/>
  <c r="L7" i="4"/>
  <c r="K7" i="4"/>
  <c r="J7" i="4"/>
  <c r="N7" i="4" s="1"/>
  <c r="H7" i="4"/>
  <c r="M6" i="4"/>
  <c r="L6" i="4"/>
  <c r="K6" i="4"/>
  <c r="J6" i="4"/>
  <c r="N6" i="4" s="1"/>
  <c r="I6" i="4"/>
  <c r="M5" i="4"/>
  <c r="L5" i="4"/>
  <c r="K5" i="4"/>
  <c r="J5" i="4"/>
  <c r="N5" i="4" s="1"/>
  <c r="I5" i="4"/>
  <c r="H5" i="4"/>
  <c r="M4" i="4"/>
  <c r="L4" i="4"/>
  <c r="K4" i="4"/>
  <c r="J4" i="4"/>
  <c r="N4" i="4" s="1"/>
  <c r="I4" i="4"/>
  <c r="H4" i="4"/>
  <c r="M3" i="4"/>
  <c r="L3" i="4"/>
  <c r="K3" i="4"/>
  <c r="J3" i="4"/>
  <c r="N3" i="4" s="1"/>
  <c r="I3" i="4"/>
  <c r="H3" i="4"/>
  <c r="M2" i="4"/>
  <c r="L2" i="4"/>
  <c r="K2" i="4"/>
  <c r="J2" i="4"/>
  <c r="N2" i="4" s="1"/>
  <c r="I2" i="4"/>
  <c r="H6" i="4" l="1"/>
  <c r="I7" i="4" s="1"/>
  <c r="I27" i="4" l="1"/>
  <c r="I21" i="4"/>
</calcChain>
</file>

<file path=xl/sharedStrings.xml><?xml version="1.0" encoding="utf-8"?>
<sst xmlns="http://schemas.openxmlformats.org/spreadsheetml/2006/main" count="413" uniqueCount="148">
  <si>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</si>
  <si>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</si>
  <si>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</si>
  <si>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</si>
  <si>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</si>
  <si>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</si>
  <si>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</si>
  <si>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</si>
  <si>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</si>
  <si>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</si>
  <si>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</si>
  <si>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</si>
  <si>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</si>
  <si>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</si>
  <si>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</si>
  <si>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</si>
  <si>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</si>
  <si>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</si>
  <si>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</si>
  <si>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</si>
  <si>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</si>
  <si>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</si>
  <si>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</si>
  <si>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</si>
  <si>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</si>
  <si>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</si>
  <si>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</si>
  <si>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</si>
  <si>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</si>
  <si>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</si>
  <si>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</si>
  <si>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</si>
  <si>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</si>
  <si>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</si>
  <si>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</si>
  <si>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</si>
  <si>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</si>
  <si>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</si>
  <si>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</si>
  <si>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</si>
  <si>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</si>
  <si>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</si>
  <si>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</si>
  <si>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</si>
  <si>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</si>
  <si>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</si>
  <si>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</si>
  <si>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</si>
  <si>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</si>
  <si>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</si>
  <si>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</si>
  <si>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</si>
  <si>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</si>
  <si>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</si>
  <si>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</si>
  <si>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</si>
  <si>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</si>
  <si>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</si>
  <si>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</si>
  <si>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</si>
  <si>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</si>
  <si>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</si>
  <si>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</si>
  <si>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</si>
  <si>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</si>
  <si>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</si>
  <si>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</si>
  <si>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</si>
  <si>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</si>
  <si>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</si>
  <si>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</si>
  <si>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</si>
  <si>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</si>
  <si>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</si>
  <si>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</si>
  <si>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</si>
  <si>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</si>
  <si>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</si>
  <si>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</si>
  <si>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</si>
  <si>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</si>
  <si>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</si>
  <si>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</si>
  <si>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</si>
  <si>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</si>
  <si>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</si>
  <si>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</si>
  <si>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</si>
  <si>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</si>
  <si>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</si>
  <si>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</si>
  <si>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</si>
  <si>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</si>
  <si>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</si>
  <si>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</si>
  <si>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</si>
  <si>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</si>
  <si>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</si>
  <si>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</si>
  <si>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</si>
  <si>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</si>
  <si>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</si>
  <si>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</si>
  <si>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</si>
  <si>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</si>
  <si>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</si>
  <si>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</si>
  <si>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</si>
  <si>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</si>
  <si>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</si>
  <si>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</si>
  <si>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</si>
  <si>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</si>
  <si>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</si>
  <si>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</si>
  <si>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</si>
  <si>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</si>
  <si>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</si>
  <si>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</si>
  <si>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</si>
  <si>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</si>
  <si>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</si>
  <si>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</si>
  <si>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</si>
  <si>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</si>
  <si>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</si>
  <si>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</si>
  <si>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</si>
  <si>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</si>
  <si>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</si>
  <si>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</si>
  <si>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</si>
  <si>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</si>
  <si>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</si>
  <si>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</si>
  <si>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</si>
  <si>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</si>
  <si>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</si>
  <si>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</si>
  <si>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</si>
  <si>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</si>
  <si>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</si>
  <si>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</si>
  <si>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Category (imputed)</t>
  </si>
  <si>
    <t>Category (typo fixed)</t>
  </si>
  <si>
    <t>Price (imputed)</t>
  </si>
  <si>
    <t>Product Name (cleaned)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</si>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</sst>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\$#,##0.00"/>
    <numFmt numFmtId="167" formatCode="dd\-mm\-yyyy"/>
  </numFmts>
  <fonts count="10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4DD0E1"/>
        <bgColor rgb="FF99CCFF"/>
      </patternFill>
    </fill>
    <fill>
      <patternFill patternType="solid">
        <fgColor rgb="FFFFCDD2"/>
        <bgColor rgb="FFCCCCFF"/>
      </patternFill>
    </fill>
    <fill>
      <patternFill patternType="solid">
        <fgColor rgb="FF49CDE3"/>
        <bgColor rgb="FFFFCC0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2" fontId="1" fillId="2" borderId="0" xfId="0" applyNumberFormat="1" applyFont="1" applyFill="1" applyAlignment="1">
      <alignment horizontal="center"/>
    </xf>
    <xf numFmtId="2" fontId="2" fillId="0" borderId="0" xfId="0" applyNumberFormat="1" applyFont="1"/>
    <xf numFmtId="2" fontId="2" fillId="3" borderId="0" xfId="0" applyNumberFormat="1" applyFont="1" applyFill="1"/>
    <xf numFmtId="2" fontId="0" fillId="0" borderId="0" xfId="0" applyNumberFormat="1"/>
    <xf numFmtId="0" fontId="5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166" fontId="7" fillId="0" borderId="1" xfId="0" applyNumberFormat="1" applyFont="1" applyBorder="1" applyAlignment="1">
      <alignment horizontal="right"/>
    </xf>
    <xf numFmtId="166" fontId="8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font>
        <b/>
        <color rgb="FF1B5E20"/>
        <name val="Arial"/>
        <charset val="1"/>
      </font>
      <fill>
        <patternFill>
          <bgColor rgb="FFB2FF59"/>
        </patternFill>
      </fill>
    </dxf>
    <dxf>
      <font>
        <b/>
        <color rgb="FF1B5E20"/>
        <name val="Arial"/>
        <charset val="1"/>
      </font>
      <fill>
        <patternFill>
          <bgColor rgb="FFB2FF59"/>
        </patternFill>
      </fill>
    </dxf>
    <dxf>
      <font>
        <b/>
        <color rgb="FF1B5E20"/>
        <name val="Arial"/>
        <charset val="1"/>
      </font>
      <fill>
        <patternFill>
          <bgColor rgb="FFB2FF59"/>
        </patternFill>
      </fill>
    </dxf>
    <dxf>
      <font>
        <b/>
        <color rgb="FF1B5E20"/>
        <name val="Arial"/>
        <charset val="1"/>
      </font>
      <fill>
        <patternFill>
          <bgColor rgb="FFB2FF59"/>
        </patternFill>
      </fill>
    </dxf>
    <dxf>
      <font>
        <b/>
        <color rgb="FF1B5E20"/>
        <name val="Arial"/>
        <charset val="1"/>
      </font>
      <fill>
        <patternFill>
          <bgColor rgb="FFB2FF5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H10" sqref="H10"/>
    </sheetView>
  </sheetViews>
  <sheetFormatPr defaultColWidth="12.6328125" defaultRowHeight="15" customHeight="1"/>
  <cols>
    <col min="1" max="3" width="12.6328125" customWidth="1"/>
    <col min="4" max="4" width="12.6328125" style="9" customWidth="1"/>
    <col min="5" max="6" width="12.6328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7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8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7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8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7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8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7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8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7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8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7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8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7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8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7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8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7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8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7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8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7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8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7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8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7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8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7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8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7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8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7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8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7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8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9B8-E45F-45F9-BC27-0A0D5CA2B0C7}">
  <dimension ref="A1:N35"/>
  <sheetViews>
    <sheetView tabSelected="1" topLeftCell="C1" zoomScale="80" zoomScaleNormal="80" workbookViewId="0">
      <selection activeCell="M2" sqref="M2"/>
    </sheetView>
  </sheetViews>
  <sheetFormatPr defaultColWidth="8.6328125" defaultRowHeight="12.5"/>
  <cols>
    <col min="1" max="1" width="14" style="12" customWidth="1"/>
    <col min="2" max="2" width="16" style="12" customWidth="1"/>
    <col min="3" max="3" width="14" style="12" customWidth="1"/>
    <col min="4" max="5" width="10" style="12" customWidth="1"/>
    <col min="6" max="6" width="12" style="12" customWidth="1"/>
    <col min="7" max="7" width="20.1796875" style="12" bestFit="1" customWidth="1"/>
    <col min="8" max="8" width="18.6328125" style="12" bestFit="1" customWidth="1"/>
    <col min="9" max="9" width="14.6328125" style="12" bestFit="1" customWidth="1"/>
    <col min="10" max="10" width="22.1796875" style="12" bestFit="1" customWidth="1"/>
    <col min="11" max="11" width="16" style="12" customWidth="1"/>
    <col min="12" max="12" width="18.453125" style="12" bestFit="1" customWidth="1"/>
    <col min="13" max="13" width="16" style="12" customWidth="1"/>
    <col min="14" max="14" width="19.08984375" style="12" bestFit="1" customWidth="1"/>
    <col min="15" max="16384" width="8.6328125" style="12"/>
  </cols>
  <sheetData>
    <row r="1" spans="1:14" ht="17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144</v>
      </c>
      <c r="H1" s="11" t="s">
        <v>143</v>
      </c>
      <c r="I1" s="11" t="s">
        <v>145</v>
      </c>
      <c r="J1" s="11" t="s">
        <v>146</v>
      </c>
      <c r="K1" s="11" t="s">
        <v>147</v>
      </c>
      <c r="L1" s="11" t="s">
        <v>109</v>
      </c>
      <c r="M1" s="11" t="s">
        <v>110</v>
      </c>
      <c r="N1" s="11" t="s">
        <v>111</v>
      </c>
    </row>
    <row r="2" spans="1:14">
      <c r="A2" s="13" t="s">
        <v>6</v>
      </c>
      <c r="B2" s="13" t="s">
        <v>7</v>
      </c>
      <c r="C2" s="13" t="s">
        <v>8</v>
      </c>
      <c r="D2" s="13">
        <v>1000</v>
      </c>
      <c r="E2" s="13">
        <v>30</v>
      </c>
      <c r="F2" s="13" t="s">
        <v>9</v>
      </c>
      <c r="G2" s="14" t="s">
        <v>9</v>
      </c>
      <c r="H2" s="15" t="s">
        <v>9</v>
      </c>
      <c r="I2" s="22">
        <f>IF(D2="",AVERAGEIFS($D$2:$D$35,$H$2:$H$35,H2),D2)</f>
        <v>1000</v>
      </c>
      <c r="J2" s="14" t="str">
        <f>TRIM(PROPER(B2))</f>
        <v>Laptop</v>
      </c>
      <c r="K2" s="14" t="str">
        <f>IF(COUNTIFS($A$2:$A$35,A2,$B$2:$B$35,B2,$C$2:$C$35,C2,$D$2:$D$35,D2,$E$2:$E$35,E2,$F$2:$F$35,F2)&gt;1,"Duplicate","Unique")</f>
        <v>Unique</v>
      </c>
      <c r="L2" s="17">
        <f>DATEVALUE(LEFT(A2,FIND("-",A2,FIND("-",A2)+1)-1)&amp;"-2026")</f>
        <v>46050</v>
      </c>
      <c r="M2" s="14" t="str">
        <f>RIGHT(A2,2)</f>
        <v>US</v>
      </c>
      <c r="N2" s="14" t="str">
        <f>C2&amp;" "&amp;J2</f>
        <v>Dell Laptop</v>
      </c>
    </row>
    <row r="3" spans="1:14">
      <c r="A3" s="13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G3" s="14" t="s">
        <v>13</v>
      </c>
      <c r="H3" s="14" t="str">
        <f>IF(G3="",IFERROR(LOOKUP(2,1/(($B$2:$B$35=B3)*($G$2:$G$35&lt;&gt;"")),$G$2:$G$35),"Review Manually"),G3)</f>
        <v>Fashion</v>
      </c>
      <c r="I3" s="16">
        <f>IF(D3="",AVERAGEIFS($D$2:$D$35,$H$2:$H$35,H3),D3)</f>
        <v>80</v>
      </c>
      <c r="J3" s="14" t="str">
        <f>TRIM(PROPER(B3))</f>
        <v>Sneakers</v>
      </c>
      <c r="K3" s="14" t="str">
        <f>IF(COUNTIFS($A$2:$A$35,A3,$B$2:$B$35,B3,$C$2:$C$35,C3,$D$2:$D$35,D3,$E$2:$E$35,E3,$F$2:$F$35,F3)&gt;1,"Duplicate","Unique")</f>
        <v>Unique</v>
      </c>
      <c r="L3" s="17">
        <f>DATEVALUE(LEFT(A3,FIND("-",A3,FIND("-",A3)+1)-1)&amp;"-2026")</f>
        <v>46068</v>
      </c>
      <c r="M3" s="14" t="str">
        <f>RIGHT(A3,2)</f>
        <v>US</v>
      </c>
      <c r="N3" s="14" t="str">
        <f>C3&amp;" "&amp;J3</f>
        <v>Nike Sneakers</v>
      </c>
    </row>
    <row r="4" spans="1:14">
      <c r="A4" s="13" t="s">
        <v>14</v>
      </c>
      <c r="B4" s="13" t="s">
        <v>15</v>
      </c>
      <c r="C4" s="13" t="s">
        <v>16</v>
      </c>
      <c r="D4" s="13">
        <v>130</v>
      </c>
      <c r="E4" s="13">
        <v>40</v>
      </c>
      <c r="F4" s="13" t="s">
        <v>17</v>
      </c>
      <c r="G4" s="14" t="s">
        <v>17</v>
      </c>
      <c r="H4" s="14" t="str">
        <f>IF(G4="",IFERROR(LOOKUP(2,1/(($B$2:$B$35=B4)*($G$2:$G$35&lt;&gt;"")),$G$2:$G$35),"Review Manually"),G4)</f>
        <v>Kitchen</v>
      </c>
      <c r="I4" s="16">
        <f>IF(D4="",AVERAGEIFS($D$2:$D$35,$H$2:$H$35,H4),D4)</f>
        <v>130</v>
      </c>
      <c r="J4" s="14" t="str">
        <f>TRIM(PROPER(B4))</f>
        <v>Coffee Maker</v>
      </c>
      <c r="K4" s="14" t="str">
        <f>IF(COUNTIFS($A$2:$A$35,A4,$B$2:$B$35,B4,$C$2:$C$35,C4,$D$2:$D$35,D4,$E$2:$E$35,E4,$F$2:$F$35,F4)&gt;1,"Duplicate","Unique")</f>
        <v>Unique</v>
      </c>
      <c r="L4" s="17">
        <f>DATEVALUE(LEFT(A4,FIND("-",A4,FIND("-",A4)+1)-1)&amp;"-2026")</f>
        <v>46084</v>
      </c>
      <c r="M4" s="14" t="str">
        <f>RIGHT(A4,2)</f>
        <v>US</v>
      </c>
      <c r="N4" s="14" t="str">
        <f>C4&amp;" "&amp;J4</f>
        <v>Keurig Coffee Maker</v>
      </c>
    </row>
    <row r="5" spans="1:14">
      <c r="A5" s="13" t="s">
        <v>18</v>
      </c>
      <c r="B5" s="13" t="s">
        <v>77</v>
      </c>
      <c r="C5" s="13" t="s">
        <v>20</v>
      </c>
      <c r="D5" s="13">
        <v>900</v>
      </c>
      <c r="E5" s="13">
        <v>25</v>
      </c>
      <c r="F5" s="13" t="s">
        <v>9</v>
      </c>
      <c r="G5" s="14" t="s">
        <v>9</v>
      </c>
      <c r="H5" s="14" t="str">
        <f>IF(G5="",IFERROR(LOOKUP(2,1/(($B$2:$B$35=B5)*($G$2:$G$35&lt;&gt;"")),$G$2:$G$35),"Review Manually"),G5)</f>
        <v>Electronics</v>
      </c>
      <c r="I5" s="16">
        <f>IF(D5="",AVERAGEIFS($D$2:$D$35,$H$2:$H$35,H5),D5)</f>
        <v>900</v>
      </c>
      <c r="J5" s="14" t="str">
        <f>TRIM(PROPER(B5))</f>
        <v>Smartphone</v>
      </c>
      <c r="K5" s="14" t="str">
        <f>IF(COUNTIFS($A$2:$A$35,A5,$B$2:$B$35,B5,$C$2:$C$35,C5,$D$2:$D$35,D5,$E$2:$E$35,E5,$F$2:$F$35,F5)&gt;1,"Duplicate","Unique")</f>
        <v>Unique</v>
      </c>
      <c r="L5" s="17">
        <f>DATEVALUE(LEFT(A5,FIND("-",A5,FIND("-",A5)+1)-1)&amp;"-2026")</f>
        <v>46123</v>
      </c>
      <c r="M5" s="14" t="str">
        <f>RIGHT(A5,2)</f>
        <v>US</v>
      </c>
      <c r="N5" s="14" t="str">
        <f>C5&amp;" "&amp;J5</f>
        <v>Samsung Smartphone</v>
      </c>
    </row>
    <row r="6" spans="1:14">
      <c r="A6" s="13" t="s">
        <v>21</v>
      </c>
      <c r="B6" s="13" t="s">
        <v>22</v>
      </c>
      <c r="C6" s="13" t="s">
        <v>23</v>
      </c>
      <c r="D6" s="13">
        <v>70</v>
      </c>
      <c r="E6" s="13">
        <v>20</v>
      </c>
      <c r="F6" s="18"/>
      <c r="G6" s="14"/>
      <c r="H6" s="14" t="str">
        <f>IF(G6="",IFERROR(LOOKUP(2,1/(($B$2:$B$35=B6)*($G$2:$G$35&lt;&gt;"")),$G$2:$G$35),"Review Manually"),G6)</f>
        <v>Review Manually</v>
      </c>
      <c r="I6" s="16">
        <f>IF(D6="",AVERAGEIFS($D$2:$D$35,$H$2:$H$35,H6),D6)</f>
        <v>70</v>
      </c>
      <c r="J6" s="14" t="str">
        <f>TRIM(PROPER(B6))</f>
        <v>Backpack</v>
      </c>
      <c r="K6" s="14" t="str">
        <f>IF(COUNTIFS($A$2:$A$35,A6,$B$2:$B$35,B6,$C$2:$C$35,C6,$D$2:$D$35,D6,$E$2:$E$35,E6,$F$2:$F$35,F6)&gt;1,"Duplicate","Unique")</f>
        <v>Unique</v>
      </c>
      <c r="L6" s="17">
        <f>DATEVALUE(LEFT(A6,FIND("-",A6,FIND("-",A6)+1)-1)&amp;"-2026")</f>
        <v>46164</v>
      </c>
      <c r="M6" s="14" t="str">
        <f>RIGHT(A6,2)</f>
        <v>US</v>
      </c>
      <c r="N6" s="14" t="str">
        <f>C6&amp;" "&amp;J6</f>
        <v>North Face Backpack</v>
      </c>
    </row>
    <row r="7" spans="1:14">
      <c r="A7" s="13" t="s">
        <v>24</v>
      </c>
      <c r="B7" s="13" t="s">
        <v>25</v>
      </c>
      <c r="C7" s="13" t="s">
        <v>26</v>
      </c>
      <c r="D7" s="18"/>
      <c r="E7" s="13">
        <v>45</v>
      </c>
      <c r="F7" s="13" t="s">
        <v>27</v>
      </c>
      <c r="G7" s="14" t="s">
        <v>9</v>
      </c>
      <c r="H7" s="14" t="str">
        <f>IF(G7="",IFERROR(LOOKUP(2,1/(($B$2:$B$35=B7)*($G$2:$G$35&lt;&gt;"")),$G$2:$G$35),"Review Manually"),G7)</f>
        <v>Electronics</v>
      </c>
      <c r="I7" s="16">
        <f>IF(D7="",AVERAGEIFS($D$2:$D$35,$H$2:$H$35,H7),D7)</f>
        <v>562.14285714285711</v>
      </c>
      <c r="J7" s="14" t="str">
        <f>TRIM(PROPER(B7))</f>
        <v>Headphones</v>
      </c>
      <c r="K7" s="14" t="str">
        <f>IF(COUNTIFS($A$2:$A$35,A7,$B$2:$B$35,B7,$C$2:$C$35,C7,$D$2:$D$35,D7,$E$2:$E$35,E7,$F$2:$F$35,F7)&gt;1,"Duplicate","Unique")</f>
        <v>Unique</v>
      </c>
      <c r="L7" s="17">
        <f>DATEVALUE(LEFT(A7,FIND("-",A7,FIND("-",A7)+1)-1)&amp;"-2026")</f>
        <v>46180</v>
      </c>
      <c r="M7" s="14" t="str">
        <f>RIGHT(A7,2)</f>
        <v>UK</v>
      </c>
      <c r="N7" s="14" t="str">
        <f>C7&amp;" "&amp;J7</f>
        <v>Sony Headphones</v>
      </c>
    </row>
    <row r="8" spans="1:14">
      <c r="A8" s="13" t="s">
        <v>28</v>
      </c>
      <c r="B8" s="13" t="s">
        <v>29</v>
      </c>
      <c r="C8" s="13" t="s">
        <v>30</v>
      </c>
      <c r="D8" s="13">
        <v>30</v>
      </c>
      <c r="E8" s="13">
        <v>5</v>
      </c>
      <c r="F8" s="13" t="s">
        <v>13</v>
      </c>
      <c r="G8" s="14" t="s">
        <v>13</v>
      </c>
      <c r="H8" s="14" t="str">
        <f>IF(G8="",IFERROR(LOOKUP(2,1/(($B$2:$B$35=B8)*($G$2:$G$35&lt;&gt;"")),$G$2:$G$35),"Review Manually"),G8)</f>
        <v>Fashion</v>
      </c>
      <c r="I8" s="16">
        <f>IF(D8="",AVERAGEIFS($D$2:$D$35,$H$2:$H$35,H8),D8)</f>
        <v>30</v>
      </c>
      <c r="J8" s="14" t="str">
        <f>TRIM(PROPER(B8))</f>
        <v>T-Shirt</v>
      </c>
      <c r="K8" s="14" t="str">
        <f>IF(COUNTIFS($A$2:$A$35,A8,$B$2:$B$35,B8,$C$2:$C$35,C8,$D$2:$D$35,D8,$E$2:$E$35,E8,$F$2:$F$35,F8)&gt;1,"Duplicate","Unique")</f>
        <v>Unique</v>
      </c>
      <c r="L8" s="17">
        <f>DATEVALUE(LEFT(A8,FIND("-",A8,FIND("-",A8)+1)-1)&amp;"-2026")</f>
        <v>46222</v>
      </c>
      <c r="M8" s="14" t="str">
        <f>RIGHT(A8,2)</f>
        <v>UK</v>
      </c>
      <c r="N8" s="14" t="str">
        <f>C8&amp;" "&amp;J8</f>
        <v>Adidas T-Shirt</v>
      </c>
    </row>
    <row r="9" spans="1:14">
      <c r="A9" s="13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G9" s="14" t="s">
        <v>17</v>
      </c>
      <c r="H9" s="14" t="str">
        <f>IF(G9="",IFERROR(LOOKUP(2,1/(($B$2:$B$35=B9)*($G$2:$G$35&lt;&gt;"")),$G$2:$G$35),"Review Manually"),G9)</f>
        <v>Kitchen</v>
      </c>
      <c r="I9" s="16">
        <f>IF(D9="",AVERAGEIFS($D$2:$D$35,$H$2:$H$35,H9),D9)</f>
        <v>90</v>
      </c>
      <c r="J9" s="14" t="str">
        <f>TRIM(PROPER(B9))</f>
        <v>Blender</v>
      </c>
      <c r="K9" s="14" t="str">
        <f>IF(COUNTIFS($A$2:$A$35,A9,$B$2:$B$35,B9,$C$2:$C$35,C9,$D$2:$D$35,D9,$E$2:$E$35,E9,$F$2:$F$35,F9)&gt;1,"Duplicate","Unique")</f>
        <v>Unique</v>
      </c>
      <c r="L9" s="17">
        <f>DATEVALUE(LEFT(A9,FIND("-",A9,FIND("-",A9)+1)-1)&amp;"-2026")</f>
        <v>46257</v>
      </c>
      <c r="M9" s="14" t="str">
        <f>RIGHT(A9,2)</f>
        <v>UK</v>
      </c>
      <c r="N9" s="14" t="str">
        <f>C9&amp;" "&amp;J9</f>
        <v>Ninja Blender</v>
      </c>
    </row>
    <row r="10" spans="1:14">
      <c r="A10" s="13" t="s">
        <v>34</v>
      </c>
      <c r="B10" s="13" t="s">
        <v>35</v>
      </c>
      <c r="C10" s="13" t="s">
        <v>36</v>
      </c>
      <c r="D10" s="13">
        <v>500</v>
      </c>
      <c r="E10" s="13">
        <v>50</v>
      </c>
      <c r="F10" s="13" t="s">
        <v>9</v>
      </c>
      <c r="G10" s="14" t="str">
        <f>IF(F10="Electroni","Electronics",IF(F10="","",F10))</f>
        <v>Electronics</v>
      </c>
      <c r="H10" s="14" t="str">
        <f>IF(G10="",IFERROR(LOOKUP(2,1/(($B$2:$B$35=B10)*($G$2:$G$35&lt;&gt;"")),$G$2:$G$35),"Review Manually"),G10)</f>
        <v>Electronics</v>
      </c>
      <c r="I10" s="16">
        <f>IF(D10="",AVERAGEIFS($D$2:$D$35,$H$2:$H$35,H10),D10)</f>
        <v>500</v>
      </c>
      <c r="J10" s="14" t="str">
        <f>TRIM(PROPER(B10))</f>
        <v>Tablet</v>
      </c>
      <c r="K10" s="14" t="str">
        <f>IF(COUNTIFS($A$2:$A$35,A10,$B$2:$B$35,B10,$C$2:$C$35,C10,$D$2:$D$35,D10,$E$2:$E$35,E10,$F$2:$F$35,F10)&gt;1,"Duplicate","Unique")</f>
        <v>Unique</v>
      </c>
      <c r="L10" s="17">
        <f>DATEVALUE(LEFT(A10,FIND("-",A10,FIND("-",A10)+1)-1)&amp;"-2026")</f>
        <v>46270</v>
      </c>
      <c r="M10" s="14" t="str">
        <f>RIGHT(A10,2)</f>
        <v>UK</v>
      </c>
      <c r="N10" s="14" t="str">
        <f>C10&amp;" "&amp;J10</f>
        <v>Apple Tablet</v>
      </c>
    </row>
    <row r="11" spans="1:14">
      <c r="A11" s="13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40</v>
      </c>
      <c r="G11" s="14" t="s">
        <v>40</v>
      </c>
      <c r="H11" s="14" t="str">
        <f>IF(G11="",IFERROR(LOOKUP(2,1/(($B$2:$B$35=B11)*($G$2:$G$35&lt;&gt;"")),$G$2:$G$35),"Review Manually"),G11)</f>
        <v>Outdoor</v>
      </c>
      <c r="I11" s="16">
        <f>IF(D11="",AVERAGEIFS($D$2:$D$35,$H$2:$H$35,H11),D11)</f>
        <v>130</v>
      </c>
      <c r="J11" s="14" t="str">
        <f>TRIM(PROPER(B11))</f>
        <v>Hiking Boots</v>
      </c>
      <c r="K11" s="14" t="str">
        <f>IF(COUNTIFS($A$2:$A$35,A11,$B$2:$B$35,B11,$C$2:$C$35,C11,$D$2:$D$35,D11,$E$2:$E$35,E11,$F$2:$F$35,F11)&gt;1,"Duplicate","Unique")</f>
        <v>Unique</v>
      </c>
      <c r="L11" s="17">
        <f>DATEVALUE(LEFT(A11,FIND("-",A11,FIND("-",A11)+1)-1)&amp;"-2026")</f>
        <v>46309</v>
      </c>
      <c r="M11" s="14" t="str">
        <f>RIGHT(A11,2)</f>
        <v>UK</v>
      </c>
      <c r="N11" s="14" t="str">
        <f>C11&amp;" "&amp;J11</f>
        <v>Timberland Hiking Boots</v>
      </c>
    </row>
    <row r="12" spans="1:14">
      <c r="A12" s="13" t="s">
        <v>41</v>
      </c>
      <c r="B12" s="13" t="s">
        <v>42</v>
      </c>
      <c r="C12" s="13" t="s">
        <v>43</v>
      </c>
      <c r="D12" s="13">
        <v>950</v>
      </c>
      <c r="E12" s="13">
        <v>25</v>
      </c>
      <c r="F12" s="13" t="s">
        <v>9</v>
      </c>
      <c r="G12" s="14" t="s">
        <v>9</v>
      </c>
      <c r="H12" s="14" t="str">
        <f>IF(G12="",IFERROR(LOOKUP(2,1/(($B$2:$B$35=B12)*($G$2:$G$35&lt;&gt;"")),$G$2:$G$35),"Review Manually"),G12)</f>
        <v>Electronics</v>
      </c>
      <c r="I12" s="16">
        <f>IF(D12="",AVERAGEIFS($D$2:$D$35,$H$2:$H$35,H12),D12)</f>
        <v>950</v>
      </c>
      <c r="J12" s="14" t="str">
        <f>TRIM(PROPER(B12))</f>
        <v>Laptop</v>
      </c>
      <c r="K12" s="14" t="str">
        <f>IF(COUNTIFS($A$2:$A$35,A12,$B$2:$B$35,B12,$C$2:$C$35,C12,$D$2:$D$35,D12,$E$2:$E$35,E12,$F$2:$F$35,F12)&gt;1,"Duplicate","Unique")</f>
        <v>Duplicate</v>
      </c>
      <c r="L12" s="17">
        <f>DATEVALUE(LEFT(A12,FIND("-",A12,FIND("-",A12)+1)-1)&amp;"-2026")</f>
        <v>46190</v>
      </c>
      <c r="M12" s="14" t="str">
        <f>RIGHT(A12,2)</f>
        <v>IN</v>
      </c>
      <c r="N12" s="14" t="str">
        <f>C12&amp;" "&amp;J12</f>
        <v>HP Laptop</v>
      </c>
    </row>
    <row r="13" spans="1:14">
      <c r="A13" s="13" t="s">
        <v>44</v>
      </c>
      <c r="B13" s="13" t="s">
        <v>11</v>
      </c>
      <c r="C13" s="13" t="s">
        <v>30</v>
      </c>
      <c r="D13" s="13">
        <v>90</v>
      </c>
      <c r="E13" s="13">
        <v>40</v>
      </c>
      <c r="F13" s="18"/>
      <c r="G13" s="14" t="str">
        <f>IF(F13="Electroni","Electronics",IF(F13="","",F13))</f>
        <v/>
      </c>
      <c r="H13" s="14" t="str">
        <f>IF(G13="",IFERROR(LOOKUP(2,1/(($B$2:$B$35=B13)*($G$2:$G$35&lt;&gt;"")),$G$2:$G$35),"Review Manually"),G13)</f>
        <v>Fashion</v>
      </c>
      <c r="I13" s="16">
        <f>IF(D13="",AVERAGEIFS($D$2:$D$35,$H$2:$H$35,H13),D13)</f>
        <v>90</v>
      </c>
      <c r="J13" s="14" t="str">
        <f>TRIM(PROPER(B13))</f>
        <v>Sneakers</v>
      </c>
      <c r="K13" s="14" t="str">
        <f>IF(COUNTIFS($A$2:$A$35,A13,$B$2:$B$35,B13,$C$2:$C$35,C13,$D$2:$D$35,D13,$E$2:$E$35,E13,$F$2:$F$35,F13)&gt;1,"Duplicate","Unique")</f>
        <v>Unique</v>
      </c>
      <c r="L13" s="17">
        <f>DATEVALUE(LEFT(A13,FIND("-",A13,FIND("-",A13)+1)-1)&amp;"-2026")</f>
        <v>46351</v>
      </c>
      <c r="M13" s="14" t="str">
        <f>RIGHT(A13,2)</f>
        <v>AU</v>
      </c>
      <c r="N13" s="14" t="str">
        <f>C13&amp;" "&amp;J13</f>
        <v>Adidas Sneakers</v>
      </c>
    </row>
    <row r="14" spans="1:14">
      <c r="A14" s="13" t="s">
        <v>45</v>
      </c>
      <c r="B14" s="13" t="s">
        <v>15</v>
      </c>
      <c r="C14" s="13" t="s">
        <v>46</v>
      </c>
      <c r="D14" s="13">
        <v>120</v>
      </c>
      <c r="E14" s="13">
        <v>35</v>
      </c>
      <c r="F14" s="18"/>
      <c r="G14" s="14" t="str">
        <f>IF(F14="Electroni","Electronics",IF(F14="","",F14))</f>
        <v/>
      </c>
      <c r="H14" s="14" t="str">
        <f>IF(G14="",IFERROR(LOOKUP(2,1/(($B$2:$B$35=B14)*($G$2:$G$35&lt;&gt;"")),$G$2:$G$35),"Review Manually"),G14)</f>
        <v>Kitchen</v>
      </c>
      <c r="I14" s="16">
        <f>IF(D14="",AVERAGEIFS($D$2:$D$35,$H$2:$H$35,H14),D14)</f>
        <v>120</v>
      </c>
      <c r="J14" s="14" t="str">
        <f>TRIM(PROPER(B14))</f>
        <v>Coffee Maker</v>
      </c>
      <c r="K14" s="14" t="str">
        <f>IF(COUNTIFS($A$2:$A$35,A14,$B$2:$B$35,B14,$C$2:$C$35,C14,$D$2:$D$35,D14,$E$2:$E$35,E14,$F$2:$F$35,F14)&gt;1,"Duplicate","Unique")</f>
        <v>Unique</v>
      </c>
      <c r="L14" s="17">
        <f>DATEVALUE(LEFT(A14,FIND("-",A14,FIND("-",A14)+1)-1)&amp;"-2026")</f>
        <v>46364</v>
      </c>
      <c r="M14" s="14" t="str">
        <f>RIGHT(A14,2)</f>
        <v>DE</v>
      </c>
      <c r="N14" s="14" t="str">
        <f>C14&amp;" "&amp;J14</f>
        <v>Nespresso Coffee Maker</v>
      </c>
    </row>
    <row r="15" spans="1:14">
      <c r="A15" s="13" t="s">
        <v>47</v>
      </c>
      <c r="B15" s="13" t="s">
        <v>48</v>
      </c>
      <c r="C15" s="13" t="s">
        <v>49</v>
      </c>
      <c r="D15" s="13">
        <v>150</v>
      </c>
      <c r="E15" s="13">
        <v>15</v>
      </c>
      <c r="F15" s="13" t="s">
        <v>27</v>
      </c>
      <c r="G15" s="14" t="s">
        <v>9</v>
      </c>
      <c r="H15" s="14" t="str">
        <f>IF(G15="",IFERROR(LOOKUP(2,1/(($B$2:$B$35=B15)*($G$2:$G$35&lt;&gt;"")),$G$2:$G$35),"Review Manually"),G15)</f>
        <v>Electronics</v>
      </c>
      <c r="I15" s="16">
        <f>IF(D15="",AVERAGEIFS($D$2:$D$35,$H$2:$H$35,H15),D15)</f>
        <v>150</v>
      </c>
      <c r="J15" s="14" t="str">
        <f>TRIM(PROPER(B15))</f>
        <v>Smartwatch</v>
      </c>
      <c r="K15" s="14" t="str">
        <f>IF(COUNTIFS($A$2:$A$35,A15,$B$2:$B$35,B15,$C$2:$C$35,C15,$D$2:$D$35,D15,$E$2:$E$35,E15,$F$2:$F$35,F15)&gt;1,"Duplicate","Unique")</f>
        <v>Unique</v>
      </c>
      <c r="L15" s="17">
        <f>DATEVALUE(LEFT(A15,FIND("-",A15,FIND("-",A15)+1)-1)&amp;"-2026")</f>
        <v>46071</v>
      </c>
      <c r="M15" s="14" t="str">
        <f>RIGHT(A15,2)</f>
        <v>CA</v>
      </c>
      <c r="N15" s="14" t="str">
        <f>C15&amp;" "&amp;J15</f>
        <v>Fitbit Smartwatch</v>
      </c>
    </row>
    <row r="16" spans="1:14">
      <c r="A16" s="13" t="s">
        <v>50</v>
      </c>
      <c r="B16" s="13" t="s">
        <v>51</v>
      </c>
      <c r="C16" s="13" t="s">
        <v>52</v>
      </c>
      <c r="D16" s="13">
        <v>250</v>
      </c>
      <c r="E16" s="13">
        <v>20</v>
      </c>
      <c r="F16" s="13" t="s">
        <v>27</v>
      </c>
      <c r="G16" s="14" t="s">
        <v>9</v>
      </c>
      <c r="H16" s="14" t="str">
        <f>IF(G16="",IFERROR(LOOKUP(2,1/(($B$2:$B$35=B16)*($G$2:$G$35&lt;&gt;"")),$G$2:$G$35),"Review Manually"),G16)</f>
        <v>Electronics</v>
      </c>
      <c r="I16" s="16">
        <f>IF(D16="",AVERAGEIFS($D$2:$D$35,$H$2:$H$35,H16),D16)</f>
        <v>250</v>
      </c>
      <c r="J16" s="14" t="str">
        <f>TRIM(PROPER(B16))</f>
        <v>Headphones</v>
      </c>
      <c r="K16" s="14" t="str">
        <f>IF(COUNTIFS($A$2:$A$35,A16,$B$2:$B$35,B16,$C$2:$C$35,C16,$D$2:$D$35,D16,$E$2:$E$35,E16,$F$2:$F$35,F16)&gt;1,"Duplicate","Unique")</f>
        <v>Duplicate</v>
      </c>
      <c r="L16" s="17">
        <f>DATEVALUE(LEFT(A16,FIND("-",A16,FIND("-",A16)+1)-1)&amp;"-2026")</f>
        <v>46128</v>
      </c>
      <c r="M16" s="14" t="str">
        <f>RIGHT(A16,2)</f>
        <v>ES</v>
      </c>
      <c r="N16" s="14" t="str">
        <f>C16&amp;" "&amp;J16</f>
        <v>Bose Headphones</v>
      </c>
    </row>
    <row r="17" spans="1:14">
      <c r="A17" s="13" t="s">
        <v>53</v>
      </c>
      <c r="B17" s="13" t="s">
        <v>54</v>
      </c>
      <c r="C17" s="13" t="s">
        <v>55</v>
      </c>
      <c r="D17" s="13">
        <v>50</v>
      </c>
      <c r="E17" s="13">
        <v>35</v>
      </c>
      <c r="F17" s="13" t="s">
        <v>56</v>
      </c>
      <c r="G17" s="14" t="s">
        <v>56</v>
      </c>
      <c r="H17" s="14" t="str">
        <f>IF(G17="",IFERROR(LOOKUP(2,1/(($B$2:$B$35=B17)*($G$2:$G$35&lt;&gt;"")),$G$2:$G$35),"Review Manually"),G17)</f>
        <v>Accessories</v>
      </c>
      <c r="I17" s="16">
        <f>IF(D17="",AVERAGEIFS($D$2:$D$35,$H$2:$H$35,H17),D17)</f>
        <v>50</v>
      </c>
      <c r="J17" s="14" t="str">
        <f>TRIM(PROPER(B17))</f>
        <v>Laptop Bag</v>
      </c>
      <c r="K17" s="14" t="str">
        <f>IF(COUNTIFS($A$2:$A$35,A17,$B$2:$B$35,B17,$C$2:$C$35,C17,$D$2:$D$35,D17,$E$2:$E$35,E17,$F$2:$F$35,F17)&gt;1,"Duplicate","Unique")</f>
        <v>Duplicate</v>
      </c>
      <c r="L17" s="17">
        <f>DATEVALUE(LEFT(A17,FIND("-",A17,FIND("-",A17)+1)-1)&amp;"-2026")</f>
        <v>46255</v>
      </c>
      <c r="M17" s="14" t="str">
        <f>RIGHT(A17,2)</f>
        <v>CA</v>
      </c>
      <c r="N17" s="14" t="str">
        <f>C17&amp;" "&amp;J17</f>
        <v>Samsonite Laptop Bag</v>
      </c>
    </row>
    <row r="18" spans="1:14">
      <c r="A18" s="13" t="s">
        <v>57</v>
      </c>
      <c r="B18" s="13" t="s">
        <v>48</v>
      </c>
      <c r="C18" s="13" t="s">
        <v>58</v>
      </c>
      <c r="D18" s="13">
        <v>160</v>
      </c>
      <c r="E18" s="13">
        <v>15</v>
      </c>
      <c r="F18" s="13" t="s">
        <v>27</v>
      </c>
      <c r="G18" s="14" t="s">
        <v>9</v>
      </c>
      <c r="H18" s="14" t="str">
        <f>IF(G18="",IFERROR(LOOKUP(2,1/(($B$2:$B$35=B18)*($G$2:$G$35&lt;&gt;"")),$G$2:$G$35),"Review Manually"),G18)</f>
        <v>Electronics</v>
      </c>
      <c r="I18" s="16">
        <f>IF(D18="",AVERAGEIFS($D$2:$D$35,$H$2:$H$35,H18),D18)</f>
        <v>160</v>
      </c>
      <c r="J18" s="14" t="str">
        <f>TRIM(PROPER(B18))</f>
        <v>Smartwatch</v>
      </c>
      <c r="K18" s="14" t="str">
        <f>IF(COUNTIFS($A$2:$A$35,A18,$B$2:$B$35,B18,$C$2:$C$35,C18,$D$2:$D$35,D18,$E$2:$E$35,E18,$F$2:$F$35,F18)&gt;1,"Duplicate","Unique")</f>
        <v>Unique</v>
      </c>
      <c r="L18" s="17">
        <f>DATEVALUE(LEFT(A18,FIND("-",A18,FIND("-",A18)+1)-1)&amp;"-2026")</f>
        <v>46254</v>
      </c>
      <c r="M18" s="14" t="str">
        <f>RIGHT(A18,2)</f>
        <v>CN</v>
      </c>
      <c r="N18" s="14" t="str">
        <f>C18&amp;" "&amp;J18</f>
        <v>Huawei Smartwatch</v>
      </c>
    </row>
    <row r="19" spans="1:14">
      <c r="A19" s="13" t="s">
        <v>59</v>
      </c>
      <c r="B19" s="13" t="s">
        <v>7</v>
      </c>
      <c r="C19" s="13" t="s">
        <v>60</v>
      </c>
      <c r="D19" s="13">
        <v>980</v>
      </c>
      <c r="E19" s="13">
        <v>10</v>
      </c>
      <c r="F19" s="13" t="s">
        <v>9</v>
      </c>
      <c r="G19" s="14" t="s">
        <v>9</v>
      </c>
      <c r="H19" s="14" t="str">
        <f>IF(G19="",IFERROR(LOOKUP(2,1/(($B$2:$B$35=B19)*($G$2:$G$35&lt;&gt;"")),$G$2:$G$35),"Review Manually"),G19)</f>
        <v>Electronics</v>
      </c>
      <c r="I19" s="16">
        <f>IF(D19="",AVERAGEIFS($D$2:$D$35,$H$2:$H$35,H19),D19)</f>
        <v>980</v>
      </c>
      <c r="J19" s="14" t="str">
        <f>TRIM(PROPER(B19))</f>
        <v>Laptop</v>
      </c>
      <c r="K19" s="14" t="str">
        <f>IF(COUNTIFS($A$2:$A$35,A19,$B$2:$B$35,B19,$C$2:$C$35,C19,$D$2:$D$35,D19,$E$2:$E$35,E19,$F$2:$F$35,F19)&gt;1,"Duplicate","Unique")</f>
        <v>Unique</v>
      </c>
      <c r="L19" s="17">
        <f>DATEVALUE(LEFT(A19,FIND("-",A19,FIND("-",A19)+1)-1)&amp;"-2026")</f>
        <v>46049</v>
      </c>
      <c r="M19" s="14" t="str">
        <f>RIGHT(A19,2)</f>
        <v>IT</v>
      </c>
      <c r="N19" s="14" t="str">
        <f>C19&amp;" "&amp;J19</f>
        <v>Asus Laptop</v>
      </c>
    </row>
    <row r="20" spans="1:14">
      <c r="A20" s="13" t="s">
        <v>61</v>
      </c>
      <c r="B20" s="13" t="s">
        <v>62</v>
      </c>
      <c r="C20" s="13" t="s">
        <v>63</v>
      </c>
      <c r="D20" s="13">
        <v>150</v>
      </c>
      <c r="E20" s="13">
        <v>15</v>
      </c>
      <c r="F20" s="13" t="s">
        <v>13</v>
      </c>
      <c r="G20" s="14" t="s">
        <v>13</v>
      </c>
      <c r="H20" s="14" t="str">
        <f>IF(G20="",IFERROR(LOOKUP(2,1/(($B$2:$B$35=B20)*($G$2:$G$35&lt;&gt;"")),$G$2:$G$35),"Review Manually"),G20)</f>
        <v>Fashion</v>
      </c>
      <c r="I20" s="16">
        <f>IF(D20="",AVERAGEIFS($D$2:$D$35,$H$2:$H$35,H20),D20)</f>
        <v>150</v>
      </c>
      <c r="J20" s="14" t="str">
        <f>TRIM(PROPER(B20))</f>
        <v>Sunglasses</v>
      </c>
      <c r="K20" s="14" t="str">
        <f>IF(COUNTIFS($A$2:$A$35,A20,$B$2:$B$35,B20,$C$2:$C$35,C20,$D$2:$D$35,D20,$E$2:$E$35,E20,$F$2:$F$35,F20)&gt;1,"Duplicate","Unique")</f>
        <v>Unique</v>
      </c>
      <c r="L20" s="17">
        <f>DATEVALUE(LEFT(A20,FIND("-",A20,FIND("-",A20)+1)-1)&amp;"-2026")</f>
        <v>46082</v>
      </c>
      <c r="M20" s="14" t="str">
        <f>RIGHT(A20,2)</f>
        <v>UK</v>
      </c>
      <c r="N20" s="14" t="str">
        <f>C20&amp;" "&amp;J20</f>
        <v>Oakley Sunglasses</v>
      </c>
    </row>
    <row r="21" spans="1:14">
      <c r="A21" s="13" t="s">
        <v>64</v>
      </c>
      <c r="B21" s="13" t="s">
        <v>65</v>
      </c>
      <c r="C21" s="13" t="s">
        <v>66</v>
      </c>
      <c r="D21" s="18"/>
      <c r="E21" s="13">
        <v>10</v>
      </c>
      <c r="F21" s="13" t="s">
        <v>40</v>
      </c>
      <c r="G21" s="14" t="s">
        <v>40</v>
      </c>
      <c r="H21" s="14" t="str">
        <f>IF(G21="",IFERROR(LOOKUP(2,1/(($B$2:$B$35=B21)*($G$2:$G$35&lt;&gt;"")),$G$2:$G$35),"Review Manually"),G21)</f>
        <v>Outdoor</v>
      </c>
      <c r="I21" s="16">
        <f>IF(D21="",AVERAGEIFS($D$2:$D$35,$H$2:$H$35,H21),D21)</f>
        <v>130</v>
      </c>
      <c r="J21" s="14" t="str">
        <f>TRIM(PROPER(B21))</f>
        <v>Camping Tent</v>
      </c>
      <c r="K21" s="14" t="str">
        <f>IF(COUNTIFS($A$2:$A$35,A21,$B$2:$B$35,B21,$C$2:$C$35,C21,$D$2:$D$35,D21,$E$2:$E$35,E21,$F$2:$F$35,F21)&gt;1,"Duplicate","Unique")</f>
        <v>Unique</v>
      </c>
      <c r="L21" s="17">
        <f>DATEVALUE(LEFT(A21,FIND("-",A21,FIND("-",A21)+1)-1)&amp;"-2026")</f>
        <v>46248</v>
      </c>
      <c r="M21" s="14" t="str">
        <f>RIGHT(A21,2)</f>
        <v>US</v>
      </c>
      <c r="N21" s="14" t="str">
        <f>C21&amp;" "&amp;J21</f>
        <v>Coleman Camping Tent</v>
      </c>
    </row>
    <row r="22" spans="1:14">
      <c r="A22" s="13" t="s">
        <v>67</v>
      </c>
      <c r="B22" s="13" t="s">
        <v>68</v>
      </c>
      <c r="C22" s="13" t="s">
        <v>69</v>
      </c>
      <c r="D22" s="13">
        <v>700</v>
      </c>
      <c r="E22" s="13">
        <v>50</v>
      </c>
      <c r="F22" s="13" t="s">
        <v>9</v>
      </c>
      <c r="G22" s="14" t="s">
        <v>9</v>
      </c>
      <c r="H22" s="14" t="str">
        <f>IF(G22="",IFERROR(LOOKUP(2,1/(($B$2:$B$35=B22)*($G$2:$G$35&lt;&gt;"")),$G$2:$G$35),"Review Manually"),G22)</f>
        <v>Electronics</v>
      </c>
      <c r="I22" s="16">
        <f>IF(D22="",AVERAGEIFS($D$2:$D$35,$H$2:$H$35,H22),D22)</f>
        <v>700</v>
      </c>
      <c r="J22" s="14" t="str">
        <f>TRIM(PROPER(B22))</f>
        <v>Camera</v>
      </c>
      <c r="K22" s="14" t="str">
        <f>IF(COUNTIFS($A$2:$A$35,A22,$B$2:$B$35,B22,$C$2:$C$35,C22,$D$2:$D$35,D22,$E$2:$E$35,E22,$F$2:$F$35,F22)&gt;1,"Duplicate","Unique")</f>
        <v>Unique</v>
      </c>
      <c r="L22" s="17">
        <f>DATEVALUE(LEFT(A22,FIND("-",A22,FIND("-",A22)+1)-1)&amp;"-2026")</f>
        <v>46156</v>
      </c>
      <c r="M22" s="14" t="str">
        <f>RIGHT(A22,2)</f>
        <v>RU</v>
      </c>
      <c r="N22" s="14" t="str">
        <f>C22&amp;" "&amp;J22</f>
        <v>Nikon Camera</v>
      </c>
    </row>
    <row r="23" spans="1:14">
      <c r="A23" s="13" t="s">
        <v>70</v>
      </c>
      <c r="B23" s="13" t="s">
        <v>71</v>
      </c>
      <c r="C23" s="13" t="s">
        <v>72</v>
      </c>
      <c r="D23" s="13">
        <v>80</v>
      </c>
      <c r="E23" s="13">
        <v>20</v>
      </c>
      <c r="F23" s="13" t="s">
        <v>17</v>
      </c>
      <c r="G23" s="14" t="s">
        <v>17</v>
      </c>
      <c r="H23" s="14" t="str">
        <f>IF(G23="",IFERROR(LOOKUP(2,1/(($B$2:$B$35=B23)*($G$2:$G$35&lt;&gt;"")),$G$2:$G$35),"Review Manually"),G23)</f>
        <v>Kitchen</v>
      </c>
      <c r="I23" s="16">
        <f>IF(D23="",AVERAGEIFS($D$2:$D$35,$H$2:$H$35,H23),D23)</f>
        <v>80</v>
      </c>
      <c r="J23" s="14" t="str">
        <f>TRIM(PROPER(B23))</f>
        <v>Microwave</v>
      </c>
      <c r="K23" s="14" t="str">
        <f>IF(COUNTIFS($A$2:$A$35,A23,$B$2:$B$35,B23,$C$2:$C$35,C23,$D$2:$D$35,D23,$E$2:$E$35,E23,$F$2:$F$35,F23)&gt;1,"Duplicate","Unique")</f>
        <v>Unique</v>
      </c>
      <c r="L23" s="17">
        <f>DATEVALUE(LEFT(A23,FIND("-",A23,FIND("-",A23)+1)-1)&amp;"-2026")</f>
        <v>46031</v>
      </c>
      <c r="M23" s="14" t="str">
        <f>RIGHT(A23,2)</f>
        <v>CA</v>
      </c>
      <c r="N23" s="14" t="str">
        <f>C23&amp;" "&amp;J23</f>
        <v>Panasonic Microwave</v>
      </c>
    </row>
    <row r="24" spans="1:14">
      <c r="A24" s="13" t="s">
        <v>73</v>
      </c>
      <c r="B24" s="13" t="s">
        <v>74</v>
      </c>
      <c r="C24" s="13" t="s">
        <v>75</v>
      </c>
      <c r="D24" s="13">
        <v>150</v>
      </c>
      <c r="E24" s="13">
        <v>30</v>
      </c>
      <c r="F24" s="18"/>
      <c r="G24" s="14"/>
      <c r="H24" s="14" t="str">
        <f>IF(G24="",IFERROR(LOOKUP(2,1/(($B$2:$B$35=B24)*($G$2:$G$35&lt;&gt;"")),$G$2:$G$35),"Review Manually"),G24)</f>
        <v>Electronics</v>
      </c>
      <c r="I24" s="16">
        <f>IF(D24="",AVERAGEIFS($D$2:$D$35,$H$2:$H$35,H24),D24)</f>
        <v>150</v>
      </c>
      <c r="J24" s="14" t="str">
        <f>TRIM(PROPER(B24))</f>
        <v>Fitness Tracker</v>
      </c>
      <c r="K24" s="14" t="str">
        <f>IF(COUNTIFS($A$2:$A$35,A24,$B$2:$B$35,B24,$C$2:$C$35,C24,$D$2:$D$35,D24,$E$2:$E$35,E24,$F$2:$F$35,F24)&gt;1,"Duplicate","Unique")</f>
        <v>Unique</v>
      </c>
      <c r="L24" s="17">
        <f>DATEVALUE(LEFT(A24,FIND("-",A24,FIND("-",A24)+1)-1)&amp;"-2026")</f>
        <v>46222</v>
      </c>
      <c r="M24" s="14" t="str">
        <f>RIGHT(A24,2)</f>
        <v>BR</v>
      </c>
      <c r="N24" s="14" t="str">
        <f>C24&amp;" "&amp;J24</f>
        <v>Xiaomi Fitness Tracker</v>
      </c>
    </row>
    <row r="25" spans="1:14">
      <c r="A25" s="13" t="s">
        <v>53</v>
      </c>
      <c r="B25" s="13" t="s">
        <v>54</v>
      </c>
      <c r="C25" s="13" t="s">
        <v>55</v>
      </c>
      <c r="D25" s="13">
        <v>50</v>
      </c>
      <c r="E25" s="13">
        <v>35</v>
      </c>
      <c r="F25" s="13" t="s">
        <v>56</v>
      </c>
      <c r="G25" s="14" t="s">
        <v>56</v>
      </c>
      <c r="H25" s="14" t="str">
        <f>IF(G25="",IFERROR(LOOKUP(2,1/(($B$2:$B$35=B25)*($G$2:$G$35&lt;&gt;"")),$G$2:$G$35),"Review Manually"),G25)</f>
        <v>Accessories</v>
      </c>
      <c r="I25" s="16">
        <f>IF(D25="",AVERAGEIFS($D$2:$D$35,$H$2:$H$35,H25),D25)</f>
        <v>50</v>
      </c>
      <c r="J25" s="14" t="str">
        <f>TRIM(PROPER(B25))</f>
        <v>Laptop Bag</v>
      </c>
      <c r="K25" s="14" t="str">
        <f>IF(COUNTIFS($A$2:$A$35,A25,$B$2:$B$35,B25,$C$2:$C$35,C25,$D$2:$D$35,D25,$E$2:$E$35,E25,$F$2:$F$35,F25)&gt;1,"Duplicate","Unique")</f>
        <v>Duplicate</v>
      </c>
      <c r="L25" s="17">
        <f>DATEVALUE(LEFT(A25,FIND("-",A25,FIND("-",A25)+1)-1)&amp;"-2026")</f>
        <v>46255</v>
      </c>
      <c r="M25" s="14" t="str">
        <f>RIGHT(A25,2)</f>
        <v>CA</v>
      </c>
      <c r="N25" s="14" t="str">
        <f>C25&amp;" "&amp;J25</f>
        <v>Samsonite Laptop Bag</v>
      </c>
    </row>
    <row r="26" spans="1:14">
      <c r="A26" s="13" t="s">
        <v>76</v>
      </c>
      <c r="B26" s="13" t="s">
        <v>77</v>
      </c>
      <c r="C26" s="13" t="s">
        <v>78</v>
      </c>
      <c r="D26" s="13">
        <v>800</v>
      </c>
      <c r="E26" s="13">
        <v>45</v>
      </c>
      <c r="F26" s="13" t="s">
        <v>9</v>
      </c>
      <c r="G26" s="14" t="s">
        <v>9</v>
      </c>
      <c r="H26" s="14" t="str">
        <f>IF(G26="",IFERROR(LOOKUP(2,1/(($B$2:$B$35=B26)*($G$2:$G$35&lt;&gt;"")),$G$2:$G$35),"Review Manually"),G26)</f>
        <v>Electronics</v>
      </c>
      <c r="I26" s="16">
        <f>IF(D26="",AVERAGEIFS($D$2:$D$35,$H$2:$H$35,H26),D26)</f>
        <v>800</v>
      </c>
      <c r="J26" s="14" t="str">
        <f>TRIM(PROPER(B26))</f>
        <v>Smartphone</v>
      </c>
      <c r="K26" s="14" t="str">
        <f>IF(COUNTIFS($A$2:$A$35,A26,$B$2:$B$35,B26,$C$2:$C$35,C26,$D$2:$D$35,D26,$E$2:$E$35,E26,$F$2:$F$35,F26)&gt;1,"Duplicate","Unique")</f>
        <v>Unique</v>
      </c>
      <c r="L26" s="17">
        <f>DATEVALUE(LEFT(A26,FIND("-",A26,FIND("-",A26)+1)-1)&amp;"-2026")</f>
        <v>46294</v>
      </c>
      <c r="M26" s="14" t="str">
        <f>RIGHT(A26,2)</f>
        <v>CA</v>
      </c>
      <c r="N26" s="14" t="str">
        <f>C26&amp;" "&amp;J26</f>
        <v>Google Smartphone</v>
      </c>
    </row>
    <row r="27" spans="1:14">
      <c r="A27" s="13" t="s">
        <v>79</v>
      </c>
      <c r="B27" s="13" t="s">
        <v>62</v>
      </c>
      <c r="C27" s="13" t="s">
        <v>80</v>
      </c>
      <c r="D27" s="18"/>
      <c r="E27" s="13">
        <v>25</v>
      </c>
      <c r="F27" s="13" t="s">
        <v>13</v>
      </c>
      <c r="G27" s="14" t="s">
        <v>13</v>
      </c>
      <c r="H27" s="14" t="str">
        <f>IF(G27="",IFERROR(LOOKUP(2,1/(($B$2:$B$35=B27)*($G$2:$G$35&lt;&gt;"")),$G$2:$G$35),"Review Manually"),G27)</f>
        <v>Fashion</v>
      </c>
      <c r="I27" s="16">
        <f>IF(D27="",AVERAGEIFS($D$2:$D$35,$H$2:$H$35,H27),D27)</f>
        <v>76.666666666666671</v>
      </c>
      <c r="J27" s="14" t="str">
        <f>TRIM(PROPER(B27))</f>
        <v>Sunglasses</v>
      </c>
      <c r="K27" s="14" t="str">
        <f>IF(COUNTIFS($A$2:$A$35,A27,$B$2:$B$35,B27,$C$2:$C$35,C27,$D$2:$D$35,D27,$E$2:$E$35,E27,$F$2:$F$35,F27)&gt;1,"Duplicate","Unique")</f>
        <v>Unique</v>
      </c>
      <c r="L27" s="17">
        <f>DATEVALUE(LEFT(A27,FIND("-",A27,FIND("-",A27)+1)-1)&amp;"-2026")</f>
        <v>46176</v>
      </c>
      <c r="M27" s="14" t="str">
        <f>RIGHT(A27,2)</f>
        <v>CA</v>
      </c>
      <c r="N27" s="14" t="str">
        <f>C27&amp;" "&amp;J27</f>
        <v>Ray-Ban Sunglasses</v>
      </c>
    </row>
    <row r="28" spans="1:14">
      <c r="A28" s="13" t="s">
        <v>81</v>
      </c>
      <c r="B28" s="13" t="s">
        <v>32</v>
      </c>
      <c r="C28" s="13" t="s">
        <v>82</v>
      </c>
      <c r="D28" s="13">
        <v>400</v>
      </c>
      <c r="E28" s="13">
        <v>40</v>
      </c>
      <c r="F28" s="13" t="s">
        <v>17</v>
      </c>
      <c r="G28" s="14" t="s">
        <v>17</v>
      </c>
      <c r="H28" s="14" t="str">
        <f>IF(G28="",IFERROR(LOOKUP(2,1/(($B$2:$B$35=B28)*($G$2:$G$35&lt;&gt;"")),$G$2:$G$35),"Review Manually"),G28)</f>
        <v>Kitchen</v>
      </c>
      <c r="I28" s="16">
        <f>IF(D28="",AVERAGEIFS($D$2:$D$35,$H$2:$H$35,H28),D28)</f>
        <v>400</v>
      </c>
      <c r="J28" s="14" t="str">
        <f>TRIM(PROPER(B28))</f>
        <v>Blender</v>
      </c>
      <c r="K28" s="14" t="str">
        <f>IF(COUNTIFS($A$2:$A$35,A28,$B$2:$B$35,B28,$C$2:$C$35,C28,$D$2:$D$35,D28,$E$2:$E$35,E28,$F$2:$F$35,F28)&gt;1,"Duplicate","Unique")</f>
        <v>Unique</v>
      </c>
      <c r="L28" s="17">
        <f>DATEVALUE(LEFT(A28,FIND("-",A28,FIND("-",A28)+1)-1)&amp;"-2026")</f>
        <v>46214</v>
      </c>
      <c r="M28" s="14" t="str">
        <f>RIGHT(A28,2)</f>
        <v>CA</v>
      </c>
      <c r="N28" s="14" t="str">
        <f>C28&amp;" "&amp;J28</f>
        <v>Vitamix Blender</v>
      </c>
    </row>
    <row r="29" spans="1:14">
      <c r="A29" s="13" t="s">
        <v>50</v>
      </c>
      <c r="B29" s="13" t="s">
        <v>51</v>
      </c>
      <c r="C29" s="13" t="s">
        <v>52</v>
      </c>
      <c r="D29" s="13">
        <v>250</v>
      </c>
      <c r="E29" s="13">
        <v>20</v>
      </c>
      <c r="F29" s="13" t="s">
        <v>27</v>
      </c>
      <c r="G29" s="14" t="s">
        <v>9</v>
      </c>
      <c r="H29" s="14" t="str">
        <f>IF(G29="",IFERROR(LOOKUP(2,1/(($B$2:$B$35=B29)*($G$2:$G$35&lt;&gt;"")),$G$2:$G$35),"Review Manually"),G29)</f>
        <v>Electronics</v>
      </c>
      <c r="I29" s="16">
        <f>IF(D29="",AVERAGEIFS($D$2:$D$35,$H$2:$H$35,H29),D29)</f>
        <v>250</v>
      </c>
      <c r="J29" s="14" t="str">
        <f>TRIM(PROPER(B29))</f>
        <v>Headphones</v>
      </c>
      <c r="K29" s="14" t="str">
        <f>IF(COUNTIFS($A$2:$A$35,A29,$B$2:$B$35,B29,$C$2:$C$35,C29,$D$2:$D$35,D29,$E$2:$E$35,E29,$F$2:$F$35,F29)&gt;1,"Duplicate","Unique")</f>
        <v>Duplicate</v>
      </c>
      <c r="L29" s="17">
        <f>DATEVALUE(LEFT(A29,FIND("-",A29,FIND("-",A29)+1)-1)&amp;"-2026")</f>
        <v>46128</v>
      </c>
      <c r="M29" s="14" t="str">
        <f>RIGHT(A29,2)</f>
        <v>ES</v>
      </c>
      <c r="N29" s="14" t="str">
        <f>C29&amp;" "&amp;J29</f>
        <v>Bose Headphones</v>
      </c>
    </row>
    <row r="30" spans="1:14">
      <c r="A30" s="13" t="s">
        <v>83</v>
      </c>
      <c r="B30" s="13" t="s">
        <v>84</v>
      </c>
      <c r="C30" s="13" t="s">
        <v>85</v>
      </c>
      <c r="D30" s="13">
        <v>60</v>
      </c>
      <c r="E30" s="13">
        <v>30</v>
      </c>
      <c r="F30" s="13" t="s">
        <v>13</v>
      </c>
      <c r="G30" s="14" t="s">
        <v>13</v>
      </c>
      <c r="H30" s="14" t="str">
        <f>IF(G30="",IFERROR(LOOKUP(2,1/(($B$2:$B$35=B30)*($G$2:$G$35&lt;&gt;"")),$G$2:$G$35),"Review Manually"),G30)</f>
        <v>Fashion</v>
      </c>
      <c r="I30" s="16">
        <f>IF(D30="",AVERAGEIFS($D$2:$D$35,$H$2:$H$35,H30),D30)</f>
        <v>60</v>
      </c>
      <c r="J30" s="14" t="str">
        <f>TRIM(PROPER(B30))</f>
        <v>Dress</v>
      </c>
      <c r="K30" s="14" t="str">
        <f>IF(COUNTIFS($A$2:$A$35,A30,$B$2:$B$35,B30,$C$2:$C$35,C30,$D$2:$D$35,D30,$E$2:$E$35,E30,$F$2:$F$35,F30)&gt;1,"Duplicate","Unique")</f>
        <v>Unique</v>
      </c>
      <c r="L30" s="17">
        <f>DATEVALUE(LEFT(A30,FIND("-",A30,FIND("-",A30)+1)-1)&amp;"-2026")</f>
        <v>46088</v>
      </c>
      <c r="M30" s="14" t="str">
        <f>RIGHT(A30,2)</f>
        <v>CA</v>
      </c>
      <c r="N30" s="14" t="str">
        <f>C30&amp;" "&amp;J30</f>
        <v>Zara Dress</v>
      </c>
    </row>
    <row r="31" spans="1:14">
      <c r="A31" s="13" t="s">
        <v>86</v>
      </c>
      <c r="B31" s="13" t="s">
        <v>87</v>
      </c>
      <c r="C31" s="13" t="s">
        <v>88</v>
      </c>
      <c r="D31" s="13">
        <v>40</v>
      </c>
      <c r="E31" s="13">
        <v>10</v>
      </c>
      <c r="F31" s="13" t="s">
        <v>17</v>
      </c>
      <c r="G31" s="14" t="s">
        <v>17</v>
      </c>
      <c r="H31" s="14" t="str">
        <f>IF(G31="",IFERROR(LOOKUP(2,1/(($B$2:$B$35=B31)*($G$2:$G$35&lt;&gt;"")),$G$2:$G$35),"Review Manually"),G31)</f>
        <v>Kitchen</v>
      </c>
      <c r="I31" s="16">
        <f>IF(D31="",AVERAGEIFS($D$2:$D$35,$H$2:$H$35,H31),D31)</f>
        <v>40</v>
      </c>
      <c r="J31" s="14" t="str">
        <f>TRIM(PROPER(B31))</f>
        <v>Toaster</v>
      </c>
      <c r="K31" s="14" t="str">
        <f>IF(COUNTIFS($A$2:$A$35,A31,$B$2:$B$35,B31,$C$2:$C$35,C31,$D$2:$D$35,D31,$E$2:$E$35,E31,$F$2:$F$35,F31)&gt;1,"Duplicate","Unique")</f>
        <v>Unique</v>
      </c>
      <c r="L31" s="17">
        <f>DATEVALUE(LEFT(A31,FIND("-",A31,FIND("-",A31)+1)-1)&amp;"-2026")</f>
        <v>46125</v>
      </c>
      <c r="M31" s="14" t="str">
        <f>RIGHT(A31,2)</f>
        <v>CA</v>
      </c>
      <c r="N31" s="14" t="str">
        <f>C31&amp;" "&amp;J31</f>
        <v>Hamilton Toaster</v>
      </c>
    </row>
    <row r="32" spans="1:14">
      <c r="A32" s="13" t="s">
        <v>89</v>
      </c>
      <c r="B32" s="13" t="s">
        <v>74</v>
      </c>
      <c r="C32" s="13" t="s">
        <v>90</v>
      </c>
      <c r="D32" s="13">
        <v>130</v>
      </c>
      <c r="E32" s="13">
        <v>5</v>
      </c>
      <c r="F32" s="13" t="s">
        <v>9</v>
      </c>
      <c r="G32" s="14" t="s">
        <v>9</v>
      </c>
      <c r="H32" s="14" t="str">
        <f>IF(G32="",IFERROR(LOOKUP(2,1/(($B$2:$B$35=B32)*($G$2:$G$35&lt;&gt;"")),$G$2:$G$35),"Review Manually"),G32)</f>
        <v>Electronics</v>
      </c>
      <c r="I32" s="16">
        <f>IF(D32="",AVERAGEIFS($D$2:$D$35,$H$2:$H$35,H32),D32)</f>
        <v>130</v>
      </c>
      <c r="J32" s="14" t="str">
        <f>TRIM(PROPER(B32))</f>
        <v>Fitness Tracker</v>
      </c>
      <c r="K32" s="14" t="str">
        <f>IF(COUNTIFS($A$2:$A$35,A32,$B$2:$B$35,B32,$C$2:$C$35,C32,$D$2:$D$35,D32,$E$2:$E$35,E32,$F$2:$F$35,F32)&gt;1,"Duplicate","Unique")</f>
        <v>Unique</v>
      </c>
      <c r="L32" s="17">
        <f>DATEVALUE(LEFT(A32,FIND("-",A32,FIND("-",A32)+1)-1)&amp;"-2026")</f>
        <v>46166</v>
      </c>
      <c r="M32" s="14" t="str">
        <f>RIGHT(A32,2)</f>
        <v>CA</v>
      </c>
      <c r="N32" s="14" t="str">
        <f>C32&amp;" "&amp;J32</f>
        <v>Garmin Fitness Tracker</v>
      </c>
    </row>
    <row r="33" spans="1:14">
      <c r="A33" s="13" t="s">
        <v>91</v>
      </c>
      <c r="B33" s="13" t="s">
        <v>92</v>
      </c>
      <c r="C33" s="13" t="s">
        <v>93</v>
      </c>
      <c r="D33" s="13">
        <v>50</v>
      </c>
      <c r="E33" s="13">
        <v>50</v>
      </c>
      <c r="F33" s="13" t="s">
        <v>13</v>
      </c>
      <c r="G33" s="14" t="s">
        <v>13</v>
      </c>
      <c r="H33" s="14" t="str">
        <f>IF(G33="",IFERROR(LOOKUP(2,1/(($B$2:$B$35=B33)*($G$2:$G$35&lt;&gt;"")),$G$2:$G$35),"Review Manually"),G33)</f>
        <v>Fashion</v>
      </c>
      <c r="I33" s="16">
        <f>IF(D33="",AVERAGEIFS($D$2:$D$35,$H$2:$H$35,H33),D33)</f>
        <v>50</v>
      </c>
      <c r="J33" s="14" t="str">
        <f>TRIM(PROPER(B33))</f>
        <v>Jeans</v>
      </c>
      <c r="K33" s="14" t="str">
        <f>IF(COUNTIFS($A$2:$A$35,A33,$B$2:$B$35,B33,$C$2:$C$35,C33,$D$2:$D$35,D33,$E$2:$E$35,E33,$F$2:$F$35,F33)&gt;1,"Duplicate","Unique")</f>
        <v>Unique</v>
      </c>
      <c r="L33" s="17">
        <f>DATEVALUE(LEFT(A33,FIND("-",A33,FIND("-",A33)+1)-1)&amp;"-2026")</f>
        <v>46358</v>
      </c>
      <c r="M33" s="14" t="str">
        <f>RIGHT(A33,2)</f>
        <v>CA</v>
      </c>
      <c r="N33" s="14" t="str">
        <f>C33&amp;" "&amp;J33</f>
        <v>Levi's Jeans</v>
      </c>
    </row>
    <row r="34" spans="1:14">
      <c r="A34" s="13" t="s">
        <v>41</v>
      </c>
      <c r="B34" s="13" t="s">
        <v>42</v>
      </c>
      <c r="C34" s="13" t="s">
        <v>43</v>
      </c>
      <c r="D34" s="13">
        <v>950</v>
      </c>
      <c r="E34" s="13">
        <v>25</v>
      </c>
      <c r="F34" s="13" t="s">
        <v>9</v>
      </c>
      <c r="G34" s="14" t="s">
        <v>9</v>
      </c>
      <c r="H34" s="14" t="str">
        <f>IF(G34="",IFERROR(LOOKUP(2,1/(($B$2:$B$35=B34)*($G$2:$G$35&lt;&gt;"")),$G$2:$G$35),"Review Manually"),G34)</f>
        <v>Electronics</v>
      </c>
      <c r="I34" s="16">
        <f>IF(D34="",AVERAGEIFS($D$2:$D$35,$H$2:$H$35,H34),D34)</f>
        <v>950</v>
      </c>
      <c r="J34" s="14" t="str">
        <f>TRIM(PROPER(B34))</f>
        <v>Laptop</v>
      </c>
      <c r="K34" s="14" t="str">
        <f>IF(COUNTIFS($A$2:$A$35,A34,$B$2:$B$35,B34,$C$2:$C$35,C34,$D$2:$D$35,D34,$E$2:$E$35,E34,$F$2:$F$35,F34)&gt;1,"Duplicate","Unique")</f>
        <v>Duplicate</v>
      </c>
      <c r="L34" s="17">
        <f>DATEVALUE(LEFT(A34,FIND("-",A34,FIND("-",A34)+1)-1)&amp;"-2026")</f>
        <v>46190</v>
      </c>
      <c r="M34" s="14" t="str">
        <f>RIGHT(A34,2)</f>
        <v>IN</v>
      </c>
      <c r="N34" s="14" t="str">
        <f>C34&amp;" "&amp;J34</f>
        <v>HP Laptop</v>
      </c>
    </row>
    <row r="35" spans="1:14">
      <c r="A35" s="13" t="s">
        <v>94</v>
      </c>
      <c r="B35" s="13" t="s">
        <v>95</v>
      </c>
      <c r="C35" s="13" t="s">
        <v>96</v>
      </c>
      <c r="D35" s="13">
        <v>100</v>
      </c>
      <c r="E35" s="13">
        <v>20</v>
      </c>
      <c r="F35" s="13" t="s">
        <v>56</v>
      </c>
      <c r="G35" s="14" t="s">
        <v>56</v>
      </c>
      <c r="H35" s="14" t="str">
        <f>IF(G35="",IFERROR(LOOKUP(2,1/(($B$2:$B$35=B35)*($G$2:$G$35&lt;&gt;"")),$G$2:$G$35),"Review Manually"),G35)</f>
        <v>Accessories</v>
      </c>
      <c r="I35" s="16">
        <f>IF(D35="",AVERAGEIFS($D$2:$D$35,$H$2:$H$35,H35),D35)</f>
        <v>100</v>
      </c>
      <c r="J35" s="14" t="str">
        <f>TRIM(PROPER(B35))</f>
        <v>Watch</v>
      </c>
      <c r="K35" s="14" t="str">
        <f>IF(COUNTIFS($A$2:$A$35,A35,$B$2:$B$35,B35,$C$2:$C$35,C35,$D$2:$D$35,D35,$E$2:$E$35,E35,$F$2:$F$35,F35)&gt;1,"Duplicate","Unique")</f>
        <v>Unique</v>
      </c>
      <c r="L35" s="17">
        <f>DATEVALUE(LEFT(A35,FIND("-",A35,FIND("-",A35)+1)-1)&amp;"-2026")</f>
        <v>46212</v>
      </c>
      <c r="M35" s="14" t="str">
        <f>RIGHT(A35,2)</f>
        <v>FR</v>
      </c>
      <c r="N35" s="14" t="str">
        <f>C35&amp;" "&amp;J35</f>
        <v>Casio Watch</v>
      </c>
    </row>
  </sheetData>
  <conditionalFormatting sqref="H2:H35">
    <cfRule type="colorScale" priority="3">
      <colorScale>
        <cfvo type="min"/>
        <cfvo type="max"/>
        <color theme="0"/>
        <color theme="0"/>
      </colorScale>
    </cfRule>
    <cfRule type="dataBar" priority="8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{E2CFF625-B832-4155-876D-73BA81BF7198}</x14:id>
        </ext>
      </extLst>
    </cfRule>
    <cfRule type="colorScale" priority="9">
      <colorScale>
        <cfvo type="min"/>
        <cfvo type="max"/>
        <color theme="0"/>
        <color rgb="FFFFEF9C"/>
      </colorScale>
    </cfRule>
    <cfRule type="colorScale" priority="12">
      <colorScale>
        <cfvo type="min"/>
        <cfvo type="max"/>
        <color theme="0"/>
        <color theme="0"/>
      </colorScale>
    </cfRule>
    <cfRule type="cellIs" dxfId="1" priority="18" operator="equal">
      <formula>"Electronics"</formula>
    </cfRule>
  </conditionalFormatting>
  <conditionalFormatting sqref="I2:I3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">
    <cfRule type="dataBar" priority="16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{A50AA2D0-EB27-425A-B122-990DA6C315BA}</x14:id>
        </ext>
      </extLst>
    </cfRule>
  </conditionalFormatting>
  <conditionalFormatting sqref="I12:I35">
    <cfRule type="colorScale" priority="15">
      <colorScale>
        <cfvo type="min"/>
        <cfvo type="max"/>
        <color theme="0"/>
        <color theme="0"/>
      </colorScale>
    </cfRule>
  </conditionalFormatting>
  <conditionalFormatting sqref="H16:H35">
    <cfRule type="colorScale" priority="13">
      <colorScale>
        <cfvo type="min"/>
        <cfvo type="max"/>
        <color theme="0"/>
        <color theme="0"/>
      </colorScale>
    </cfRule>
    <cfRule type="colorScale" priority="14">
      <colorScale>
        <cfvo type="min"/>
        <cfvo type="max"/>
        <color theme="0"/>
        <color theme="0"/>
      </colorScale>
    </cfRule>
  </conditionalFormatting>
  <conditionalFormatting sqref="I2:I11">
    <cfRule type="dataBar" priority="10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{28BE7237-6309-4B98-A7F4-A2B9B747B291}</x14:id>
        </ext>
      </extLst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">
    <cfRule type="dataBar" priority="7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{63F62FF6-91DD-4730-A702-2C7DD5EB7922}</x14:id>
        </ext>
      </extLst>
    </cfRule>
  </conditionalFormatting>
  <conditionalFormatting sqref="I2:I10">
    <cfRule type="colorScale" priority="4">
      <colorScale>
        <cfvo type="min"/>
        <cfvo type="max"/>
        <color theme="0"/>
        <color theme="0"/>
      </colorScale>
    </cfRule>
    <cfRule type="dataBar" priority="5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{07D099DC-5517-40A1-B530-1F82BA1856AD}</x14:id>
        </ext>
      </extLst>
    </cfRule>
    <cfRule type="dataBar" priority="6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{3238DD2A-FC5D-4FCF-A3CD-EBFD3F2F160D}</x14:id>
        </ext>
      </extLst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CFF625-B832-4155-876D-73BA81BF7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H2:H35</xm:sqref>
        </x14:conditionalFormatting>
        <x14:conditionalFormatting xmlns:xm="http://schemas.microsoft.com/office/excel/2006/main">
          <x14:cfRule type="dataBar" id="{A50AA2D0-EB27-425A-B122-990DA6C315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28BE7237-6309-4B98-A7F4-A2B9B747B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I2:I11</xm:sqref>
        </x14:conditionalFormatting>
        <x14:conditionalFormatting xmlns:xm="http://schemas.microsoft.com/office/excel/2006/main">
          <x14:cfRule type="dataBar" id="{63F62FF6-91DD-4730-A702-2C7DD5EB7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  <x14:conditionalFormatting xmlns:xm="http://schemas.microsoft.com/office/excel/2006/main">
          <x14:cfRule type="dataBar" id="{07D099DC-5517-40A1-B530-1F82BA185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38DD2A-FC5D-4FCF-A3CD-EBFD3F2F1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F021-3B38-4819-B14A-423CCAAB5E95}">
  <dimension ref="A1:F1000"/>
  <sheetViews>
    <sheetView zoomScale="87" zoomScaleNormal="87" workbookViewId="0">
      <selection activeCell="I24" sqref="I24"/>
    </sheetView>
  </sheetViews>
  <sheetFormatPr defaultColWidth="8.6328125" defaultRowHeight="12.5"/>
  <cols>
    <col min="1" max="1" width="20" customWidth="1"/>
    <col min="2" max="2" width="14" customWidth="1"/>
    <col min="3" max="3" width="26" customWidth="1"/>
    <col min="4" max="4" width="12" customWidth="1"/>
    <col min="5" max="5" width="10" customWidth="1"/>
    <col min="6" max="6" width="10.54296875" bestFit="1" customWidth="1"/>
  </cols>
  <sheetData>
    <row r="1" spans="1:6" ht="15" customHeight="1">
      <c r="A1" s="10" t="s">
        <v>109</v>
      </c>
      <c r="B1" s="10" t="s">
        <v>110</v>
      </c>
      <c r="C1" s="10" t="s">
        <v>111</v>
      </c>
      <c r="D1" s="10" t="s">
        <v>3</v>
      </c>
      <c r="E1" s="10" t="s">
        <v>4</v>
      </c>
      <c r="F1" s="10" t="s">
        <v>5</v>
      </c>
    </row>
    <row r="2" spans="1:6" ht="15" customHeight="1">
      <c r="A2" s="19">
        <v>46050</v>
      </c>
      <c r="B2" s="13" t="s">
        <v>97</v>
      </c>
      <c r="C2" s="20" t="s">
        <v>112</v>
      </c>
      <c r="D2" s="21">
        <v>1000</v>
      </c>
      <c r="E2" s="13">
        <v>30</v>
      </c>
      <c r="F2" t="s">
        <v>9</v>
      </c>
    </row>
    <row r="3" spans="1:6" ht="15" customHeight="1">
      <c r="A3" s="19">
        <v>46068</v>
      </c>
      <c r="B3" s="13" t="s">
        <v>97</v>
      </c>
      <c r="C3" s="20" t="s">
        <v>113</v>
      </c>
      <c r="D3" s="21">
        <v>80</v>
      </c>
      <c r="E3" s="13">
        <v>15</v>
      </c>
      <c r="F3" s="20" t="s">
        <v>13</v>
      </c>
    </row>
    <row r="4" spans="1:6" ht="15" customHeight="1">
      <c r="A4" s="19">
        <v>46084</v>
      </c>
      <c r="B4" s="13" t="s">
        <v>97</v>
      </c>
      <c r="C4" s="20" t="s">
        <v>114</v>
      </c>
      <c r="D4" s="21">
        <v>130</v>
      </c>
      <c r="E4" s="13">
        <v>40</v>
      </c>
      <c r="F4" s="20" t="s">
        <v>17</v>
      </c>
    </row>
    <row r="5" spans="1:6" ht="15" customHeight="1">
      <c r="A5" s="19">
        <v>46123</v>
      </c>
      <c r="B5" s="13" t="s">
        <v>97</v>
      </c>
      <c r="C5" s="20" t="s">
        <v>115</v>
      </c>
      <c r="D5" s="21">
        <v>900</v>
      </c>
      <c r="E5" s="13">
        <v>25</v>
      </c>
      <c r="F5" t="s">
        <v>9</v>
      </c>
    </row>
    <row r="6" spans="1:6" ht="15" customHeight="1">
      <c r="A6" s="19">
        <v>46164</v>
      </c>
      <c r="B6" s="13" t="s">
        <v>97</v>
      </c>
      <c r="C6" s="20" t="s">
        <v>116</v>
      </c>
      <c r="D6" s="21">
        <v>70</v>
      </c>
      <c r="E6" s="13">
        <v>20</v>
      </c>
      <c r="F6" s="20" t="s">
        <v>56</v>
      </c>
    </row>
    <row r="7" spans="1:6" ht="15" customHeight="1">
      <c r="A7" s="19">
        <v>46180</v>
      </c>
      <c r="B7" s="13" t="s">
        <v>98</v>
      </c>
      <c r="C7" s="20" t="s">
        <v>117</v>
      </c>
      <c r="D7" s="21">
        <v>600</v>
      </c>
      <c r="E7" s="13">
        <v>45</v>
      </c>
      <c r="F7" t="s">
        <v>9</v>
      </c>
    </row>
    <row r="8" spans="1:6" ht="15" customHeight="1">
      <c r="A8" s="19">
        <v>46222</v>
      </c>
      <c r="B8" s="13" t="s">
        <v>98</v>
      </c>
      <c r="C8" s="20" t="s">
        <v>118</v>
      </c>
      <c r="D8" s="21">
        <v>30</v>
      </c>
      <c r="E8" s="13">
        <v>5</v>
      </c>
      <c r="F8" t="s">
        <v>13</v>
      </c>
    </row>
    <row r="9" spans="1:6" ht="15" customHeight="1">
      <c r="A9" s="19">
        <v>46257</v>
      </c>
      <c r="B9" s="13" t="s">
        <v>98</v>
      </c>
      <c r="C9" s="20" t="s">
        <v>119</v>
      </c>
      <c r="D9" s="21">
        <v>90</v>
      </c>
      <c r="E9" s="13">
        <v>35</v>
      </c>
      <c r="F9" t="s">
        <v>17</v>
      </c>
    </row>
    <row r="10" spans="1:6" ht="15" customHeight="1">
      <c r="A10" s="19">
        <v>46270</v>
      </c>
      <c r="B10" s="13" t="s">
        <v>98</v>
      </c>
      <c r="C10" s="20" t="s">
        <v>120</v>
      </c>
      <c r="D10" s="21">
        <v>500</v>
      </c>
      <c r="E10" s="13">
        <v>50</v>
      </c>
      <c r="F10" t="s">
        <v>9</v>
      </c>
    </row>
    <row r="11" spans="1:6" ht="15" customHeight="1">
      <c r="A11" s="19">
        <v>46309</v>
      </c>
      <c r="B11" s="13" t="s">
        <v>98</v>
      </c>
      <c r="C11" s="20" t="s">
        <v>121</v>
      </c>
      <c r="D11" s="21">
        <v>130</v>
      </c>
      <c r="E11" s="13">
        <v>10</v>
      </c>
      <c r="F11" t="s">
        <v>40</v>
      </c>
    </row>
    <row r="12" spans="1:6" ht="15" customHeight="1">
      <c r="A12" s="19">
        <v>46190</v>
      </c>
      <c r="B12" s="13" t="s">
        <v>99</v>
      </c>
      <c r="C12" s="20" t="s">
        <v>122</v>
      </c>
      <c r="D12" s="21">
        <v>950</v>
      </c>
      <c r="E12" s="13">
        <v>25</v>
      </c>
      <c r="F12" t="s">
        <v>9</v>
      </c>
    </row>
    <row r="13" spans="1:6" ht="15" customHeight="1">
      <c r="A13" s="19">
        <v>46351</v>
      </c>
      <c r="B13" s="13" t="s">
        <v>100</v>
      </c>
      <c r="C13" s="20" t="s">
        <v>123</v>
      </c>
      <c r="D13" s="21">
        <v>90</v>
      </c>
      <c r="E13" s="13">
        <v>40</v>
      </c>
      <c r="F13" t="s">
        <v>13</v>
      </c>
    </row>
    <row r="14" spans="1:6" ht="15" customHeight="1">
      <c r="A14" s="19">
        <v>46364</v>
      </c>
      <c r="B14" s="13" t="s">
        <v>101</v>
      </c>
      <c r="C14" s="20" t="s">
        <v>124</v>
      </c>
      <c r="D14" s="21">
        <v>120</v>
      </c>
      <c r="E14" s="13">
        <v>35</v>
      </c>
      <c r="F14" t="s">
        <v>17</v>
      </c>
    </row>
    <row r="15" spans="1:6" ht="15" customHeight="1">
      <c r="A15" s="19">
        <v>46071</v>
      </c>
      <c r="B15" s="13" t="s">
        <v>102</v>
      </c>
      <c r="C15" s="20" t="s">
        <v>125</v>
      </c>
      <c r="D15" s="21">
        <v>150</v>
      </c>
      <c r="E15" s="13">
        <v>15</v>
      </c>
      <c r="F15" t="s">
        <v>9</v>
      </c>
    </row>
    <row r="16" spans="1:6" ht="15" customHeight="1">
      <c r="A16" s="19">
        <v>46128</v>
      </c>
      <c r="B16" s="13" t="s">
        <v>103</v>
      </c>
      <c r="C16" s="20" t="s">
        <v>126</v>
      </c>
      <c r="D16" s="21">
        <v>250</v>
      </c>
      <c r="E16" s="13">
        <v>20</v>
      </c>
      <c r="F16" t="s">
        <v>9</v>
      </c>
    </row>
    <row r="17" spans="1:6" ht="15" customHeight="1">
      <c r="A17" s="19">
        <v>46255</v>
      </c>
      <c r="B17" s="13" t="s">
        <v>102</v>
      </c>
      <c r="C17" s="20" t="s">
        <v>127</v>
      </c>
      <c r="D17" s="21">
        <v>50</v>
      </c>
      <c r="E17" s="13">
        <v>35</v>
      </c>
      <c r="F17" t="s">
        <v>56</v>
      </c>
    </row>
    <row r="18" spans="1:6" ht="15" customHeight="1">
      <c r="A18" s="19">
        <v>46254</v>
      </c>
      <c r="B18" s="13" t="s">
        <v>104</v>
      </c>
      <c r="C18" s="20" t="s">
        <v>128</v>
      </c>
      <c r="D18" s="21">
        <v>160</v>
      </c>
      <c r="E18" s="13">
        <v>15</v>
      </c>
      <c r="F18" t="s">
        <v>9</v>
      </c>
    </row>
    <row r="19" spans="1:6" ht="15" customHeight="1">
      <c r="A19" s="19">
        <v>46049</v>
      </c>
      <c r="B19" s="13" t="s">
        <v>105</v>
      </c>
      <c r="C19" s="20" t="s">
        <v>129</v>
      </c>
      <c r="D19" s="21">
        <v>980</v>
      </c>
      <c r="E19" s="13">
        <v>10</v>
      </c>
      <c r="F19" t="s">
        <v>9</v>
      </c>
    </row>
    <row r="20" spans="1:6" ht="15" customHeight="1">
      <c r="A20" s="19">
        <v>46082</v>
      </c>
      <c r="B20" s="13" t="s">
        <v>98</v>
      </c>
      <c r="C20" s="20" t="s">
        <v>130</v>
      </c>
      <c r="D20" s="21">
        <v>150</v>
      </c>
      <c r="E20" s="13">
        <v>15</v>
      </c>
      <c r="F20" t="s">
        <v>13</v>
      </c>
    </row>
    <row r="21" spans="1:6" ht="15" customHeight="1">
      <c r="A21" s="19">
        <v>46248</v>
      </c>
      <c r="B21" s="13" t="s">
        <v>97</v>
      </c>
      <c r="C21" s="20" t="s">
        <v>131</v>
      </c>
      <c r="D21" s="21">
        <v>130</v>
      </c>
      <c r="E21" s="13">
        <v>10</v>
      </c>
      <c r="F21" t="s">
        <v>40</v>
      </c>
    </row>
    <row r="22" spans="1:6" ht="15" customHeight="1">
      <c r="A22" s="19">
        <v>46156</v>
      </c>
      <c r="B22" s="13" t="s">
        <v>106</v>
      </c>
      <c r="C22" s="20" t="s">
        <v>132</v>
      </c>
      <c r="D22" s="21">
        <v>700</v>
      </c>
      <c r="E22" s="13">
        <v>50</v>
      </c>
      <c r="F22" t="s">
        <v>9</v>
      </c>
    </row>
    <row r="23" spans="1:6" ht="15" customHeight="1">
      <c r="A23" s="19">
        <v>46031</v>
      </c>
      <c r="B23" s="13" t="s">
        <v>102</v>
      </c>
      <c r="C23" s="20" t="s">
        <v>133</v>
      </c>
      <c r="D23" s="21">
        <v>80</v>
      </c>
      <c r="E23" s="13">
        <v>20</v>
      </c>
      <c r="F23" t="s">
        <v>17</v>
      </c>
    </row>
    <row r="24" spans="1:6" ht="15" customHeight="1">
      <c r="A24" s="19">
        <v>46222</v>
      </c>
      <c r="B24" s="13" t="s">
        <v>107</v>
      </c>
      <c r="C24" s="20" t="s">
        <v>134</v>
      </c>
      <c r="D24" s="21">
        <v>150</v>
      </c>
      <c r="E24" s="13">
        <v>30</v>
      </c>
      <c r="F24" t="s">
        <v>9</v>
      </c>
    </row>
    <row r="25" spans="1:6" ht="15" customHeight="1">
      <c r="A25" s="19">
        <v>46294</v>
      </c>
      <c r="B25" s="13" t="s">
        <v>102</v>
      </c>
      <c r="C25" s="20" t="s">
        <v>135</v>
      </c>
      <c r="D25" s="21">
        <v>800</v>
      </c>
      <c r="E25" s="13">
        <v>45</v>
      </c>
      <c r="F25" t="s">
        <v>9</v>
      </c>
    </row>
    <row r="26" spans="1:6" ht="15" customHeight="1">
      <c r="A26" s="19">
        <v>46176</v>
      </c>
      <c r="B26" s="13" t="s">
        <v>102</v>
      </c>
      <c r="C26" s="20" t="s">
        <v>136</v>
      </c>
      <c r="D26" s="21">
        <v>70</v>
      </c>
      <c r="E26" s="13">
        <v>25</v>
      </c>
      <c r="F26" t="s">
        <v>13</v>
      </c>
    </row>
    <row r="27" spans="1:6" ht="15" customHeight="1">
      <c r="A27" s="19">
        <v>46214</v>
      </c>
      <c r="B27" s="13" t="s">
        <v>102</v>
      </c>
      <c r="C27" s="20" t="s">
        <v>137</v>
      </c>
      <c r="D27" s="21">
        <v>400</v>
      </c>
      <c r="E27" s="13">
        <v>40</v>
      </c>
      <c r="F27" t="s">
        <v>17</v>
      </c>
    </row>
    <row r="28" spans="1:6" ht="15" customHeight="1">
      <c r="A28" s="19">
        <v>46088</v>
      </c>
      <c r="B28" s="13" t="s">
        <v>102</v>
      </c>
      <c r="C28" s="20" t="s">
        <v>138</v>
      </c>
      <c r="D28" s="21">
        <v>60</v>
      </c>
      <c r="E28" s="13">
        <v>30</v>
      </c>
      <c r="F28" t="s">
        <v>13</v>
      </c>
    </row>
    <row r="29" spans="1:6" ht="15" customHeight="1">
      <c r="A29" s="19">
        <v>46125</v>
      </c>
      <c r="B29" s="13" t="s">
        <v>102</v>
      </c>
      <c r="C29" s="20" t="s">
        <v>139</v>
      </c>
      <c r="D29" s="21">
        <v>40</v>
      </c>
      <c r="E29" s="13">
        <v>10</v>
      </c>
      <c r="F29" t="s">
        <v>17</v>
      </c>
    </row>
    <row r="30" spans="1:6" ht="15" customHeight="1">
      <c r="A30" s="19">
        <v>46166</v>
      </c>
      <c r="B30" s="13" t="s">
        <v>102</v>
      </c>
      <c r="C30" s="20" t="s">
        <v>140</v>
      </c>
      <c r="D30" s="21">
        <v>130</v>
      </c>
      <c r="E30" s="13">
        <v>5</v>
      </c>
      <c r="F30" t="s">
        <v>9</v>
      </c>
    </row>
    <row r="31" spans="1:6" ht="15" customHeight="1">
      <c r="A31" s="19">
        <v>46358</v>
      </c>
      <c r="B31" s="13" t="s">
        <v>102</v>
      </c>
      <c r="C31" s="20" t="s">
        <v>141</v>
      </c>
      <c r="D31" s="21">
        <v>50</v>
      </c>
      <c r="E31" s="13">
        <v>50</v>
      </c>
      <c r="F31" t="s">
        <v>13</v>
      </c>
    </row>
    <row r="32" spans="1:6" ht="15" customHeight="1">
      <c r="A32" s="19">
        <v>46212</v>
      </c>
      <c r="B32" s="13" t="s">
        <v>108</v>
      </c>
      <c r="C32" s="20" t="s">
        <v>142</v>
      </c>
      <c r="D32" s="21">
        <v>100</v>
      </c>
      <c r="E32" s="13">
        <v>20</v>
      </c>
      <c r="F32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32">
    <cfRule type="colorScale" priority="10">
      <colorScale>
        <cfvo type="min"/>
        <cfvo type="max"/>
        <color theme="0"/>
        <color theme="0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">
    <cfRule type="dataBar" priority="7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{E59708CF-BDC3-4C5B-927B-407D4EC7B6CC}</x14:id>
        </ext>
      </extLst>
    </cfRule>
    <cfRule type="dataBar" priority="8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{DC7AE8E6-DF88-451F-B44D-7E209D092367}</x14:id>
        </ext>
      </extLst>
    </cfRule>
    <cfRule type="cellIs" dxfId="4" priority="9" operator="equal">
      <formula>"Electronics"</formula>
    </cfRule>
  </conditionalFormatting>
  <conditionalFormatting sqref="F4">
    <cfRule type="dataBar" priority="4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{73E45633-58C9-4BB9-81D4-327E50B69EFA}</x14:id>
        </ext>
      </extLst>
    </cfRule>
    <cfRule type="dataBar" priority="5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{0294DDDA-09A8-4DBC-A015-3E6EC8C86494}</x14:id>
        </ext>
      </extLst>
    </cfRule>
    <cfRule type="cellIs" dxfId="3" priority="6" operator="equal">
      <formula>"Electronics"</formula>
    </cfRule>
  </conditionalFormatting>
  <conditionalFormatting sqref="F6">
    <cfRule type="dataBar" priority="1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{AA79D1BF-2AE1-43E5-BD1E-C98A04A57516}</x14:id>
        </ext>
      </extLst>
    </cfRule>
    <cfRule type="dataBar" priority="2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{7681B605-770C-4EDA-9AFB-0C6E724742B2}</x14:id>
        </ext>
      </extLst>
    </cfRule>
    <cfRule type="cellIs" dxfId="2" priority="3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9708CF-BDC3-4C5B-927B-407D4EC7B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7AE8E6-DF88-451F-B44D-7E209D0923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</xm:sqref>
        </x14:conditionalFormatting>
        <x14:conditionalFormatting xmlns:xm="http://schemas.microsoft.com/office/excel/2006/main">
          <x14:cfRule type="dataBar" id="{73E45633-58C9-4BB9-81D4-327E50B69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94DDDA-09A8-4DBC-A015-3E6EC8C86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dataBar" id="{AA79D1BF-2AE1-43E5-BD1E-C98A04A57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81B605-770C-4EDA-9AFB-0C6E72474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Raw Dataset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2026-07-23T14:43:37Z</dcterms:created>
  <dcterms:modified xsi:type="dcterms:W3CDTF">2026-08-31T09:42:27Z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